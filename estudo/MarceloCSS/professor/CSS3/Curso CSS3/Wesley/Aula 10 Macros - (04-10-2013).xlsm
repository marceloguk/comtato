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bookViews>
    <workbookView xWindow="0" yWindow="0" windowWidth="12120" windowHeight="8145" firstSheet="10" activeTab="14"/>
  </bookViews>
  <sheets>
    <sheet name="Macros" sheetId="2" r:id="rId1"/>
    <sheet name="Fevereiro" sheetId="4" r:id="rId2"/>
    <sheet name="Março" sheetId="5" r:id="rId3"/>
    <sheet name="Abril" sheetId="6" r:id="rId4"/>
    <sheet name="Junho" sheetId="7" r:id="rId5"/>
    <sheet name="Julho" sheetId="9" r:id="rId6"/>
    <sheet name="Agosto" sheetId="10" r:id="rId7"/>
    <sheet name="Setembro" sheetId="11" r:id="rId8"/>
    <sheet name="Outubro" sheetId="12" r:id="rId9"/>
    <sheet name="Novembro" sheetId="13" r:id="rId10"/>
    <sheet name="Dezembro" sheetId="14" r:id="rId11"/>
    <sheet name="Estruturas Diferentes" sheetId="17" r:id="rId12"/>
    <sheet name="BaseCritério" sheetId="24" r:id="rId13"/>
    <sheet name="BASEDADOS" sheetId="21" r:id="rId14"/>
    <sheet name="RELATORIO" sheetId="22" r:id="rId15"/>
  </sheets>
  <definedNames>
    <definedName name="_xlnm._FilterDatabase" localSheetId="13" hidden="1">BASEDADOS!$A$1:$M$67</definedName>
    <definedName name="a" hidden="1">{"normal","argentina",FALSE,"cenários e solver";#N/A,#N/A,FALSE,"banco de dados"}</definedName>
    <definedName name="anscount" hidden="1">2</definedName>
    <definedName name="_xlnm.Extract" localSheetId="14">RELATORIO!$A$10:$M$10</definedName>
    <definedName name="CAMPOS">BaseCritério!$A$1:$A$6</definedName>
    <definedName name="conf" hidden="1">{"azul",#N/A,FALSE,"geral";"verde",#N/A,FALSE,"geral";"vermelho",#N/A,FALSE,"geral"}</definedName>
    <definedName name="CRITERIO">RELATORIO!$C$1:$C$2</definedName>
    <definedName name="_xlnm.Criteria" localSheetId="14">RELATORIO!$C$1:$C$2</definedName>
    <definedName name="d" hidden="1">{"azul",#N/A,FALSE,"geral";"verde",#N/A,FALSE,"geral";"vermelho",#N/A,FALSE,"geral"}</definedName>
    <definedName name="DADOS">BASEDADOS!$A$1:$M$67</definedName>
    <definedName name="e" hidden="1">{"azul",#N/A,FALSE,"geral";"verde",#N/A,FALSE,"geral";"vermelho",#N/A,FALSE,"geral"}</definedName>
    <definedName name="g" hidden="1">{"normal","argentina",FALSE,"cenários e solver";#N/A,#N/A,FALSE,"banco de dados"}</definedName>
    <definedName name="limcount" hidden="1">2</definedName>
    <definedName name="Resumo" hidden="1">{"azul",#N/A,FALSE,"geral";"verde",#N/A,FALSE,"geral";"vermelho",#N/A,FALSE,"geral"}</definedName>
    <definedName name="sencount" hidden="1">4</definedName>
    <definedName name="solver_lhs0" hidden="1">#REF!</definedName>
    <definedName name="solver_lhs10" hidden="1">#REF!</definedName>
    <definedName name="solver_lhs11" hidden="1">#REF!</definedName>
    <definedName name="solver_lhs12" hidden="1">#REF!</definedName>
    <definedName name="solver_lhs7" hidden="1">#REF!</definedName>
    <definedName name="solver_lhs8" hidden="1">#REF!</definedName>
    <definedName name="solver_lhs9" hidden="1">#REF!</definedName>
    <definedName name="solver_rel0" hidden="1">2</definedName>
    <definedName name="solver_rel10" hidden="1">3</definedName>
    <definedName name="solver_rel11" hidden="1">4</definedName>
    <definedName name="solver_rel12" hidden="1">4</definedName>
    <definedName name="solver_rel7" hidden="1">3</definedName>
    <definedName name="solver_rel8" hidden="1">3</definedName>
    <definedName name="solver_rel9" hidden="1">3</definedName>
    <definedName name="solver_rhs10" hidden="1">#REF!</definedName>
    <definedName name="solver_rhs11" hidden="1">número</definedName>
    <definedName name="solver_rhs12" hidden="1">número</definedName>
    <definedName name="solver_rhs7" hidden="1">#REF!</definedName>
    <definedName name="solver_rhs8" hidden="1">#REF!</definedName>
    <definedName name="solver_rhs9" hidden="1">#REF!</definedName>
    <definedName name="solver_tmp" hidden="1">0</definedName>
    <definedName name="teste" hidden="1">{"normal","argentina",FALSE,"cenários e solver";#N/A,#N/A,FALSE,"banco de dados"}</definedName>
    <definedName name="v" hidden="1">{"normal","argentina",FALSE,"cenários e solver";#N/A,#N/A,FALSE,"banco de dados"}</definedName>
    <definedName name="VALORES">BaseCritério!$B$1:$B$12</definedName>
    <definedName name="Vendas" hidden="1">{"Normal","receita baixa",TRUE,"CENÁRIO ATUAL";"Linhas de Totais","despesa alta",TRUE,"CENÁRIO ATUAL";"Primeiros Meses","despesa baixa",TRUE,"CENÁRIO ATUAL";"Últimos Meses","receita alta",TRUE,"CENÁRIO ATUAL"}</definedName>
    <definedName name="wrn.Alfa." hidden="1">{#N/A,"Médio",TRUE,"Plan30";"3º Trimestre Geral",#N/A,TRUE,"1º Trimestre"}</definedName>
    <definedName name="wrn.aula." hidden="1">{"azul",#N/A,FALSE,"geral";"verde",#N/A,FALSE,"geral";"vermelho",#N/A,FALSE,"geral"}</definedName>
    <definedName name="wrn.fluxo._.de._.caixa." hidden="1">{"normal","argentina",FALSE,"cenários e solver";#N/A,#N/A,FALSE,"banco de dados"}</definedName>
    <definedName name="wrn.Mensal." hidden="1">{"Integral",#N/A,FALSE,"Plan1"}</definedName>
    <definedName name="wrn.Relat." hidden="1">{"Normal","Despesa Alta",TRUE,"Planejamento (sol)";"Primeiros Trimestres","Receita Alta",TRUE,"Planejamento (sol)";"Últimos trimestres","Receita Baixa",TRUE,"Planejamento (sol)";"Totais","Despesa Baixa",TRUE,"Planejamento (sol)"}</definedName>
    <definedName name="wrn.Relat._.Final." hidden="1">{"Normal","receita baixa",TRUE,"CENÁRIO ATUAL";"Linhas de Totais","despesa alta",TRUE,"CENÁRIO ATUAL";"Primeiros Meses","despesa baixa",TRUE,"CENÁRIO ATUAL";"Últimos Meses","receita alta",TRUE,"CENÁRIO ATUAL"}</definedName>
    <definedName name="wrn.Relatório._.Mensal." hidden="1">{"Modo1","Otimista",FALSE,"Orçamento Pessoal"}</definedName>
    <definedName name="yu" hidden="1">{"normal","argentina",FALSE,"cenários e solver";#N/A,#N/A,FALSE,"banco de dados"}</definedName>
    <definedName name="Z_B713667F_6049_11D7_ABEF_AF614200DC6C_.wvu.FilterData" localSheetId="13" hidden="1">BASEDADOS!$A$1:$M$67</definedName>
  </definedNames>
  <calcPr calcId="145621"/>
</workbook>
</file>

<file path=xl/calcChain.xml><?xml version="1.0" encoding="utf-8"?>
<calcChain xmlns="http://schemas.openxmlformats.org/spreadsheetml/2006/main">
  <c r="F2" i="17" l="1"/>
  <c r="G2" i="17" s="1"/>
  <c r="F3" i="17"/>
  <c r="G3" i="17" s="1"/>
  <c r="F4" i="17"/>
  <c r="G4" i="17" s="1"/>
  <c r="F5" i="17"/>
  <c r="G5" i="17" s="1"/>
  <c r="F6" i="17"/>
  <c r="G6" i="17" s="1"/>
  <c r="F7" i="17"/>
  <c r="G7" i="17" s="1"/>
  <c r="F8" i="17"/>
  <c r="G8" i="17" s="1"/>
  <c r="F9" i="17"/>
  <c r="G9" i="17" s="1"/>
  <c r="F10" i="17"/>
  <c r="G10" i="17" s="1"/>
  <c r="F11" i="17"/>
  <c r="G11" i="17" s="1"/>
  <c r="F12" i="17"/>
  <c r="G12" i="17" s="1"/>
  <c r="F13" i="17"/>
  <c r="G13" i="17" s="1"/>
  <c r="F14" i="17"/>
  <c r="G14" i="17" s="1"/>
  <c r="F15" i="17"/>
  <c r="G15" i="17" s="1"/>
  <c r="F16" i="17"/>
  <c r="G16" i="17" s="1"/>
  <c r="F17" i="17"/>
  <c r="G17" i="17" s="1"/>
  <c r="F18" i="17"/>
  <c r="G18" i="17" s="1"/>
  <c r="F19" i="17"/>
  <c r="G19" i="17" s="1"/>
  <c r="F20" i="17"/>
  <c r="G20" i="17" s="1"/>
  <c r="F21" i="17"/>
  <c r="G21" i="17" s="1"/>
  <c r="F22" i="17"/>
  <c r="G22" i="17" s="1"/>
  <c r="F23" i="17"/>
  <c r="G23" i="17" s="1"/>
  <c r="F24" i="17"/>
  <c r="G24" i="17" s="1"/>
  <c r="F25" i="17"/>
  <c r="G25" i="17" s="1"/>
  <c r="F26" i="17"/>
  <c r="G26" i="17" s="1"/>
  <c r="F27" i="17"/>
  <c r="G27" i="17" s="1"/>
  <c r="F28" i="17"/>
  <c r="G28" i="17" s="1"/>
  <c r="F29" i="17"/>
  <c r="G29" i="17" s="1"/>
  <c r="F30" i="17"/>
  <c r="G30" i="17" s="1"/>
  <c r="F31" i="17"/>
  <c r="G31" i="17" s="1"/>
  <c r="F32" i="17"/>
  <c r="G32" i="17" s="1"/>
  <c r="F33" i="17"/>
  <c r="G33" i="17" s="1"/>
  <c r="F34" i="17"/>
  <c r="G34" i="17" s="1"/>
  <c r="F35" i="17"/>
  <c r="G35" i="17" s="1"/>
  <c r="F36" i="17"/>
  <c r="G36" i="17" s="1"/>
  <c r="F37" i="17"/>
  <c r="G37" i="17" s="1"/>
  <c r="F38" i="17"/>
  <c r="G38" i="17" s="1"/>
  <c r="F39" i="17"/>
  <c r="G39" i="17" s="1"/>
  <c r="F40" i="17"/>
  <c r="G40" i="17" s="1"/>
  <c r="F41" i="17"/>
  <c r="G41" i="17" s="1"/>
  <c r="F42" i="17"/>
  <c r="G42" i="17" s="1"/>
  <c r="F43" i="17"/>
  <c r="G43" i="17" s="1"/>
  <c r="F44" i="17"/>
  <c r="G44" i="17" s="1"/>
  <c r="F45" i="17"/>
  <c r="G45" i="17" s="1"/>
  <c r="F46" i="17"/>
  <c r="G46" i="17" s="1"/>
  <c r="F47" i="17"/>
  <c r="G47" i="17" s="1"/>
  <c r="F48" i="17"/>
  <c r="G48" i="17" s="1"/>
  <c r="F49" i="17"/>
  <c r="G49" i="17" s="1"/>
  <c r="F50" i="17"/>
  <c r="G50" i="17" s="1"/>
  <c r="F51" i="17"/>
  <c r="G51" i="17" s="1"/>
  <c r="F52" i="17"/>
  <c r="G52" i="17" s="1"/>
  <c r="F53" i="17"/>
  <c r="G53" i="17" s="1"/>
  <c r="F54" i="17"/>
  <c r="G54" i="17" s="1"/>
  <c r="F55" i="17"/>
  <c r="G55" i="17" s="1"/>
  <c r="F56" i="17"/>
  <c r="G56" i="17" s="1"/>
  <c r="F57" i="17"/>
  <c r="G57" i="17" s="1"/>
  <c r="F58" i="17"/>
  <c r="G58" i="17" s="1"/>
  <c r="F59" i="17"/>
  <c r="G59" i="17" s="1"/>
  <c r="F60" i="17"/>
  <c r="G60" i="17" s="1"/>
  <c r="F61" i="17"/>
  <c r="G61" i="17" s="1"/>
  <c r="F62" i="17"/>
  <c r="G62" i="17" s="1"/>
  <c r="F63" i="17"/>
  <c r="G63" i="17" s="1"/>
  <c r="F64" i="17"/>
  <c r="G64" i="17" s="1"/>
  <c r="F65" i="17"/>
  <c r="G65" i="17" s="1"/>
  <c r="F66" i="17"/>
  <c r="G66" i="17" s="1"/>
  <c r="F67" i="17"/>
  <c r="G67" i="17" s="1"/>
  <c r="F68" i="17"/>
  <c r="G68" i="17" s="1"/>
  <c r="F69" i="17"/>
  <c r="G69" i="17" s="1"/>
  <c r="F70" i="17"/>
  <c r="G70" i="17" s="1"/>
  <c r="F71" i="17"/>
  <c r="G71" i="17" s="1"/>
  <c r="F72" i="17"/>
  <c r="G72" i="17" s="1"/>
  <c r="F73" i="17"/>
  <c r="G73" i="17" s="1"/>
  <c r="F74" i="17"/>
  <c r="G74" i="17" s="1"/>
  <c r="F75" i="17"/>
  <c r="G75" i="17" s="1"/>
  <c r="F76" i="17"/>
  <c r="G76" i="17" s="1"/>
  <c r="F77" i="17"/>
  <c r="G77" i="17" s="1"/>
  <c r="F78" i="17"/>
  <c r="G78" i="17" s="1"/>
  <c r="F79" i="17"/>
  <c r="G79" i="17" s="1"/>
  <c r="F80" i="17"/>
  <c r="G80" i="17" s="1"/>
  <c r="F81" i="17"/>
  <c r="G81" i="17" s="1"/>
  <c r="F82" i="17"/>
  <c r="G82" i="17" s="1"/>
  <c r="F83" i="17"/>
  <c r="G83" i="17" s="1"/>
  <c r="F84" i="17"/>
  <c r="G84" i="17" s="1"/>
  <c r="F85" i="17"/>
  <c r="G85" i="17" s="1"/>
  <c r="F86" i="17"/>
  <c r="G86" i="17" s="1"/>
</calcChain>
</file>

<file path=xl/sharedStrings.xml><?xml version="1.0" encoding="utf-8"?>
<sst xmlns="http://schemas.openxmlformats.org/spreadsheetml/2006/main" count="925" uniqueCount="181">
  <si>
    <t>INSS</t>
  </si>
  <si>
    <t>IRRF</t>
  </si>
  <si>
    <t>Folha de Pagamento</t>
  </si>
  <si>
    <t>Funcionário</t>
  </si>
  <si>
    <t>Salário Bruto</t>
  </si>
  <si>
    <t>Quantidade/Filhos</t>
  </si>
  <si>
    <t>Salário/Família</t>
  </si>
  <si>
    <t>Convênio Médico</t>
  </si>
  <si>
    <t>Vale Transporte</t>
  </si>
  <si>
    <t>Salário Líquido</t>
  </si>
  <si>
    <t>Marcio Silva Santos</t>
  </si>
  <si>
    <t>Marcelo João</t>
  </si>
  <si>
    <t>João Pedro</t>
  </si>
  <si>
    <t>Maria Cecília</t>
  </si>
  <si>
    <t>Marcos Gomes</t>
  </si>
  <si>
    <t>Jamil Cortez</t>
  </si>
  <si>
    <t>Marília Santos</t>
  </si>
  <si>
    <t>Marcio Felipe</t>
  </si>
  <si>
    <t>Caio Simões</t>
  </si>
  <si>
    <t>Priscila Coutinho</t>
  </si>
  <si>
    <t>Débora Souza</t>
  </si>
  <si>
    <t>Sabrina da Silva</t>
  </si>
  <si>
    <t>Total</t>
  </si>
  <si>
    <t>Maior Valor</t>
  </si>
  <si>
    <t>Menor Valor</t>
  </si>
  <si>
    <t>Média</t>
  </si>
  <si>
    <t>Maria João</t>
  </si>
  <si>
    <t>Carlos Simões</t>
  </si>
  <si>
    <t>Mês</t>
  </si>
  <si>
    <t>Produto</t>
  </si>
  <si>
    <t>Setor</t>
  </si>
  <si>
    <t>Vendedor</t>
  </si>
  <si>
    <t>Quantidade</t>
  </si>
  <si>
    <t>Valor Unit.</t>
  </si>
  <si>
    <t>Valor Total</t>
  </si>
  <si>
    <t>Jan</t>
  </si>
  <si>
    <t>Moto</t>
  </si>
  <si>
    <t>Sul</t>
  </si>
  <si>
    <t>Carlos</t>
  </si>
  <si>
    <t>Leste</t>
  </si>
  <si>
    <t>Abr</t>
  </si>
  <si>
    <t>Oeste</t>
  </si>
  <si>
    <t>Mai</t>
  </si>
  <si>
    <t>Mar</t>
  </si>
  <si>
    <t>Norte</t>
  </si>
  <si>
    <t>Fev</t>
  </si>
  <si>
    <t>Carro</t>
  </si>
  <si>
    <t>João</t>
  </si>
  <si>
    <t>Maria</t>
  </si>
  <si>
    <t>Nome</t>
  </si>
  <si>
    <t>Código Cliente</t>
  </si>
  <si>
    <t>Sobrenome</t>
  </si>
  <si>
    <t>Dia Entrada</t>
  </si>
  <si>
    <t>Dia Saída</t>
  </si>
  <si>
    <t>Qtde. Diárias</t>
  </si>
  <si>
    <t>Código Acomodação</t>
  </si>
  <si>
    <t>Tipo de Acomodação</t>
  </si>
  <si>
    <t>Valor da Diária</t>
  </si>
  <si>
    <t>Extras</t>
  </si>
  <si>
    <t>Taxa de Serviço</t>
  </si>
  <si>
    <t>Valor a Pagar</t>
  </si>
  <si>
    <t>Antonio da Silva</t>
  </si>
  <si>
    <t>Brito</t>
  </si>
  <si>
    <t>Simples</t>
  </si>
  <si>
    <t xml:space="preserve">Ana Teresa </t>
  </si>
  <si>
    <t>Lima</t>
  </si>
  <si>
    <t>Luxo</t>
  </si>
  <si>
    <t>Mariana</t>
  </si>
  <si>
    <t>Campos</t>
  </si>
  <si>
    <t xml:space="preserve">Lucas </t>
  </si>
  <si>
    <t>Barbosa</t>
  </si>
  <si>
    <t>Elite</t>
  </si>
  <si>
    <t xml:space="preserve">Karina </t>
  </si>
  <si>
    <t>Vieria</t>
  </si>
  <si>
    <t xml:space="preserve">Fernanda </t>
  </si>
  <si>
    <t>Gomes</t>
  </si>
  <si>
    <t xml:space="preserve">Renato </t>
  </si>
  <si>
    <t xml:space="preserve">Luciana </t>
  </si>
  <si>
    <t>Faria</t>
  </si>
  <si>
    <t>Cavalcanti</t>
  </si>
  <si>
    <t xml:space="preserve">Fabiola </t>
  </si>
  <si>
    <t>Dias</t>
  </si>
  <si>
    <t>Waldir</t>
  </si>
  <si>
    <t>Castanho</t>
  </si>
  <si>
    <t>Flávio</t>
  </si>
  <si>
    <t>Gitanes</t>
  </si>
  <si>
    <t xml:space="preserve">Andre Pereira </t>
  </si>
  <si>
    <t>Oliveira</t>
  </si>
  <si>
    <t>Duarte</t>
  </si>
  <si>
    <t xml:space="preserve">Ricardo </t>
  </si>
  <si>
    <t>Magalhães</t>
  </si>
  <si>
    <t>Stuart</t>
  </si>
  <si>
    <t xml:space="preserve"> Macari</t>
  </si>
  <si>
    <t>Luiz Ricardo</t>
  </si>
  <si>
    <t>Meneghelli</t>
  </si>
  <si>
    <t xml:space="preserve">Luciane </t>
  </si>
  <si>
    <t>Caldas</t>
  </si>
  <si>
    <t xml:space="preserve">Andre Castro </t>
  </si>
  <si>
    <t>Mendel</t>
  </si>
  <si>
    <t xml:space="preserve">Fabio Luis </t>
  </si>
  <si>
    <t>Souza</t>
  </si>
  <si>
    <t xml:space="preserve">Flavia </t>
  </si>
  <si>
    <t>Castro</t>
  </si>
  <si>
    <t xml:space="preserve">Rodrigo </t>
  </si>
  <si>
    <t xml:space="preserve">Arnaldo </t>
  </si>
  <si>
    <t>Botelho</t>
  </si>
  <si>
    <t xml:space="preserve">Beatriz Helena </t>
  </si>
  <si>
    <t>Stavale</t>
  </si>
  <si>
    <t xml:space="preserve">Marcello </t>
  </si>
  <si>
    <t>Valle</t>
  </si>
  <si>
    <t xml:space="preserve">João Francisco </t>
  </si>
  <si>
    <t>Mariscal</t>
  </si>
  <si>
    <t>Martins</t>
  </si>
  <si>
    <t>Cardoso</t>
  </si>
  <si>
    <t xml:space="preserve">Bruno </t>
  </si>
  <si>
    <t>Brant</t>
  </si>
  <si>
    <t xml:space="preserve">Gabriel </t>
  </si>
  <si>
    <t>Maia</t>
  </si>
  <si>
    <t>Banderas</t>
  </si>
  <si>
    <t xml:space="preserve">Adriana </t>
  </si>
  <si>
    <t>Ramos</t>
  </si>
  <si>
    <t xml:space="preserve">George </t>
  </si>
  <si>
    <t xml:space="preserve"> Venegiani</t>
  </si>
  <si>
    <t xml:space="preserve">João Eduardo </t>
  </si>
  <si>
    <t>Jennings</t>
  </si>
  <si>
    <t xml:space="preserve">Sergio </t>
  </si>
  <si>
    <t>Travis</t>
  </si>
  <si>
    <t xml:space="preserve">Marcelo </t>
  </si>
  <si>
    <t>Lacerda</t>
  </si>
  <si>
    <t xml:space="preserve">Carlos Alberto </t>
  </si>
  <si>
    <t>Roberts</t>
  </si>
  <si>
    <t xml:space="preserve">Claudia </t>
  </si>
  <si>
    <t>Jacques</t>
  </si>
  <si>
    <t xml:space="preserve">Jose Augusto </t>
  </si>
  <si>
    <t>Battelli</t>
  </si>
  <si>
    <t>Rita</t>
  </si>
  <si>
    <t>Matias</t>
  </si>
  <si>
    <t xml:space="preserve">Dalia </t>
  </si>
  <si>
    <t xml:space="preserve">Jose Eduardo </t>
  </si>
  <si>
    <t>Mosqueira</t>
  </si>
  <si>
    <t>Hélio</t>
  </si>
  <si>
    <t>Barros</t>
  </si>
  <si>
    <t xml:space="preserve">Daniela </t>
  </si>
  <si>
    <t>Vilela</t>
  </si>
  <si>
    <t>Danilo Pedro</t>
  </si>
  <si>
    <t>Debora Ono</t>
  </si>
  <si>
    <t>Baitelli</t>
  </si>
  <si>
    <t>Super Luxo</t>
  </si>
  <si>
    <t xml:space="preserve">Marcia </t>
  </si>
  <si>
    <t>Freixo</t>
  </si>
  <si>
    <t xml:space="preserve">Alberto </t>
  </si>
  <si>
    <t xml:space="preserve">Carlos Geronimo </t>
  </si>
  <si>
    <t>Bastos</t>
  </si>
  <si>
    <t xml:space="preserve">Stephan </t>
  </si>
  <si>
    <t>Presidencial</t>
  </si>
  <si>
    <t xml:space="preserve">Tali </t>
  </si>
  <si>
    <t>Pereira</t>
  </si>
  <si>
    <t xml:space="preserve">Maria Beatriz </t>
  </si>
  <si>
    <t>Freire</t>
  </si>
  <si>
    <t xml:space="preserve">Meri </t>
  </si>
  <si>
    <t>Aquilini</t>
  </si>
  <si>
    <t>Gabriel</t>
  </si>
  <si>
    <t>Antunes</t>
  </si>
  <si>
    <t>Domingos</t>
  </si>
  <si>
    <t>Rabelo</t>
  </si>
  <si>
    <t xml:space="preserve">Elisabete </t>
  </si>
  <si>
    <t xml:space="preserve">Jose Luis </t>
  </si>
  <si>
    <t xml:space="preserve">Karin </t>
  </si>
  <si>
    <t>Lara</t>
  </si>
  <si>
    <t xml:space="preserve">Monise </t>
  </si>
  <si>
    <t>Paiva</t>
  </si>
  <si>
    <t xml:space="preserve">Newton </t>
  </si>
  <si>
    <t>Rokcson</t>
  </si>
  <si>
    <t>Menezes</t>
  </si>
  <si>
    <t>&gt;100</t>
  </si>
  <si>
    <t>&gt;500</t>
  </si>
  <si>
    <t>&gt;1000</t>
  </si>
  <si>
    <t>&gt;1500</t>
  </si>
  <si>
    <t>&lt;100</t>
  </si>
  <si>
    <t>&gt;2000</t>
  </si>
  <si>
    <t>&lt;150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</si>
</sst>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_([$€]* #,##0.00_);_([$€]* \(#,##0.00\);_([$€]* &quot;-&quot;??_);_(@_)"/>
    <numFmt numFmtId="166" formatCode="&quot;R$&quot;#,##0;[Red]\-&quot;R$&quot;#,##0"/>
    <numFmt numFmtId="167" formatCode="&quot;$&quot;#,##0.00_);[Red]\(&quot;$&quot;#,##0.00\)"/>
    <numFmt numFmtId="168" formatCode="dd/mm/yy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6"/>
      <name val="Wide Latin"/>
      <family val="1"/>
    </font>
    <font>
      <sz val="8"/>
      <name val="Helv"/>
    </font>
    <font>
      <b/>
      <sz val="10"/>
      <name val="MS Sans Serif"/>
      <family val="2"/>
    </font>
    <font>
      <sz val="10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450666829432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1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5" fillId="2" borderId="1">
      <alignment horizontal="left"/>
    </xf>
    <xf numFmtId="38" fontId="2" fillId="0" borderId="0" applyFont="0" applyFill="0" applyBorder="0" applyAlignment="0" applyProtection="0"/>
    <xf numFmtId="4" fontId="6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6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/>
    <xf numFmtId="164" fontId="8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" fillId="0" borderId="0"/>
    <xf numFmtId="164" fontId="11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/>
    <xf numFmtId="0" fontId="4" fillId="3" borderId="2" xfId="8" applyFont="1" applyFill="1" applyBorder="1" applyAlignment="1">
      <alignment horizontal="centerContinuous" vertical="center" wrapText="1"/>
    </xf>
    <xf numFmtId="0" fontId="3" fillId="0" borderId="0" xfId="8" applyFont="1" applyFill="1" applyBorder="1" applyAlignment="1">
      <alignment horizontal="left" wrapText="1"/>
    </xf>
    <xf numFmtId="0" fontId="3" fillId="0" borderId="0" xfId="8" applyFont="1" applyBorder="1" applyAlignment="1">
      <alignment horizontal="left" wrapText="1"/>
    </xf>
    <xf numFmtId="0" fontId="3" fillId="0" borderId="0" xfId="8" applyFont="1" applyFill="1" applyBorder="1" applyAlignment="1">
      <alignment horizontal="left"/>
    </xf>
    <xf numFmtId="0" fontId="3" fillId="0" borderId="0" xfId="8" applyFont="1" applyBorder="1" applyAlignment="1">
      <alignment horizontal="left"/>
    </xf>
    <xf numFmtId="0" fontId="3" fillId="0" borderId="0" xfId="8" applyFont="1" applyBorder="1" applyAlignment="1">
      <alignment horizontal="center"/>
    </xf>
    <xf numFmtId="0" fontId="1" fillId="0" borderId="0" xfId="11"/>
    <xf numFmtId="0" fontId="10" fillId="4" borderId="2" xfId="8" applyFont="1" applyFill="1" applyBorder="1" applyAlignment="1">
      <alignment horizontal="centerContinuous" vertical="center" wrapText="1"/>
    </xf>
    <xf numFmtId="0" fontId="2" fillId="0" borderId="2" xfId="0" applyFont="1" applyBorder="1"/>
    <xf numFmtId="0" fontId="2" fillId="0" borderId="2" xfId="0" applyFont="1" applyFill="1" applyBorder="1"/>
    <xf numFmtId="0" fontId="4" fillId="0" borderId="3" xfId="8" applyFont="1" applyFill="1" applyBorder="1" applyAlignment="1">
      <alignment horizontal="centerContinuous" vertical="center" wrapText="1"/>
    </xf>
    <xf numFmtId="164" fontId="2" fillId="0" borderId="0" xfId="12" applyFont="1" applyFill="1" applyBorder="1" applyAlignment="1">
      <alignment horizontal="centerContinuous" vertical="center" wrapText="1"/>
    </xf>
    <xf numFmtId="0" fontId="2" fillId="0" borderId="0" xfId="8" applyFont="1" applyFill="1" applyBorder="1" applyAlignment="1">
      <alignment horizontal="centerContinuous" vertical="center" wrapText="1"/>
    </xf>
    <xf numFmtId="0" fontId="2" fillId="0" borderId="0" xfId="8" applyFont="1" applyFill="1" applyBorder="1" applyAlignment="1">
      <alignment horizontal="center"/>
    </xf>
    <xf numFmtId="0" fontId="2" fillId="0" borderId="0" xfId="8" applyFont="1" applyFill="1" applyBorder="1" applyAlignment="1">
      <alignment horizontal="left"/>
    </xf>
    <xf numFmtId="168" fontId="2" fillId="0" borderId="0" xfId="8" applyNumberFormat="1" applyFont="1" applyFill="1" applyBorder="1" applyAlignment="1">
      <alignment horizontal="center"/>
    </xf>
    <xf numFmtId="0" fontId="2" fillId="0" borderId="0" xfId="9" applyNumberFormat="1" applyFont="1" applyFill="1" applyBorder="1" applyAlignment="1">
      <alignment horizontal="center"/>
    </xf>
    <xf numFmtId="164" fontId="2" fillId="0" borderId="0" xfId="9" applyFont="1" applyFill="1" applyBorder="1" applyAlignment="1">
      <alignment horizontal="left"/>
    </xf>
    <xf numFmtId="164" fontId="2" fillId="0" borderId="0" xfId="10" applyNumberFormat="1" applyFont="1" applyFill="1" applyBorder="1" applyAlignment="1">
      <alignment horizontal="right"/>
    </xf>
    <xf numFmtId="164" fontId="2" fillId="0" borderId="0" xfId="9" applyFont="1" applyFill="1" applyBorder="1" applyAlignment="1">
      <alignment horizontal="right"/>
    </xf>
    <xf numFmtId="0" fontId="12" fillId="0" borderId="0" xfId="0" applyFont="1" applyAlignment="1">
      <alignment horizontal="center"/>
    </xf>
    <xf numFmtId="0" fontId="4" fillId="5" borderId="2" xfId="0" applyFont="1" applyFill="1" applyBorder="1" applyAlignment="1">
      <alignment horizontal="center" vertical="center" wrapText="1"/>
    </xf>
    <xf numFmtId="0" fontId="0" fillId="0" borderId="2" xfId="0" applyBorder="1"/>
    <xf numFmtId="164" fontId="0" fillId="0" borderId="2" xfId="12" applyFont="1" applyBorder="1"/>
    <xf numFmtId="0" fontId="4" fillId="0" borderId="2" xfId="0" applyFont="1" applyBorder="1"/>
    <xf numFmtId="164" fontId="4" fillId="0" borderId="2" xfId="12" applyFont="1" applyBorder="1"/>
    <xf numFmtId="0" fontId="4" fillId="6" borderId="2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 wrapText="1"/>
    </xf>
    <xf numFmtId="0" fontId="14" fillId="0" borderId="2" xfId="0" applyFont="1" applyBorder="1"/>
    <xf numFmtId="164" fontId="14" fillId="0" borderId="2" xfId="12" applyFont="1" applyBorder="1"/>
    <xf numFmtId="0" fontId="13" fillId="0" borderId="2" xfId="0" applyFont="1" applyBorder="1"/>
    <xf numFmtId="164" fontId="13" fillId="0" borderId="2" xfId="12" applyFont="1" applyBorder="1"/>
    <xf numFmtId="0" fontId="10" fillId="4" borderId="2" xfId="0" applyFont="1" applyFill="1" applyBorder="1" applyAlignment="1">
      <alignment horizontal="center" vertical="center" wrapText="1"/>
    </xf>
    <xf numFmtId="164" fontId="10" fillId="4" borderId="2" xfId="12" applyFont="1" applyFill="1" applyBorder="1" applyAlignment="1">
      <alignment horizontal="center" vertical="center" wrapText="1"/>
    </xf>
    <xf numFmtId="0" fontId="10" fillId="4" borderId="2" xfId="8" applyFont="1" applyFill="1" applyBorder="1" applyAlignment="1">
      <alignment horizontal="center" vertical="center" wrapText="1"/>
    </xf>
    <xf numFmtId="0" fontId="2" fillId="0" borderId="2" xfId="8" applyFont="1" applyFill="1" applyBorder="1" applyAlignment="1">
      <alignment horizontal="center"/>
    </xf>
    <xf numFmtId="0" fontId="2" fillId="0" borderId="2" xfId="8" applyFont="1" applyFill="1" applyBorder="1" applyAlignment="1">
      <alignment horizontal="left"/>
    </xf>
    <xf numFmtId="168" fontId="2" fillId="0" borderId="2" xfId="8" applyNumberFormat="1" applyFont="1" applyFill="1" applyBorder="1" applyAlignment="1">
      <alignment horizontal="center"/>
    </xf>
    <xf numFmtId="0" fontId="2" fillId="0" borderId="2" xfId="9" applyNumberFormat="1" applyFont="1" applyFill="1" applyBorder="1" applyAlignment="1">
      <alignment horizontal="center"/>
    </xf>
    <xf numFmtId="164" fontId="2" fillId="0" borderId="2" xfId="9" applyFont="1" applyFill="1" applyBorder="1" applyAlignment="1">
      <alignment horizontal="left"/>
    </xf>
    <xf numFmtId="164" fontId="2" fillId="0" borderId="2" xfId="10" applyNumberFormat="1" applyFont="1" applyFill="1" applyBorder="1" applyAlignment="1">
      <alignment horizontal="right"/>
    </xf>
    <xf numFmtId="164" fontId="2" fillId="0" borderId="2" xfId="9" applyFont="1" applyFill="1" applyBorder="1" applyAlignment="1">
      <alignment horizontal="right"/>
    </xf>
  </cellXfs>
  <cellStyles count="13">
    <cellStyle name="beterraba" xfId="1"/>
    <cellStyle name="Comma [0]" xfId="2"/>
    <cellStyle name="Comma_SOLVER1" xfId="3"/>
    <cellStyle name="Currency [0]" xfId="4"/>
    <cellStyle name="Currency_SOLVER1" xfId="5"/>
    <cellStyle name="Euro" xfId="6"/>
    <cellStyle name="Heading" xfId="7"/>
    <cellStyle name="Moeda_EX1" xfId="10"/>
    <cellStyle name="Normal" xfId="0" builtinId="0"/>
    <cellStyle name="Normal 2" xfId="11"/>
    <cellStyle name="Normal_EX1" xfId="8"/>
    <cellStyle name="Vírgula" xfId="12" builtinId="3"/>
    <cellStyle name="Vírgula 2" xfId="9"/>
  </cellStyles>
  <dxfs count="1">
    <dxf>
      <font>
        <condense val="0"/>
        <extend val="0"/>
        <color indexed="10"/>
      </font>
    </dxf>
  </dxfs>
  <tableStyles count="0" defaultTableStyle="TableStyleMedium9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0</xdr:row>
          <xdr:rowOff>9525</xdr:rowOff>
        </xdr:from>
        <xdr:to>
          <xdr:col>12</xdr:col>
          <xdr:colOff>133350</xdr:colOff>
          <xdr:row>3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Estrutura Diferente</a:t>
              </a:r>
              <a:endParaRPr lang="pt-BR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152401</xdr:colOff>
      <xdr:row>0</xdr:row>
      <xdr:rowOff>0</xdr:rowOff>
    </xdr:from>
    <xdr:to>
      <xdr:col>18</xdr:col>
      <xdr:colOff>542926</xdr:colOff>
      <xdr:row>20</xdr:row>
      <xdr:rowOff>114300</xdr:rowOff>
    </xdr:to>
    <xdr:sp macro="" textlink="">
      <xdr:nvSpPr>
        <xdr:cNvPr id="3" name="CaixaDeTexto 2"/>
        <xdr:cNvSpPr txBox="1"/>
      </xdr:nvSpPr>
      <xdr:spPr>
        <a:xfrm>
          <a:off x="9629776" y="0"/>
          <a:ext cx="3200400" cy="411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pt-BR" sz="1100" b="1">
              <a:solidFill>
                <a:srgbClr val="FF0000"/>
              </a:solidFill>
            </a:rPr>
            <a:t>EXERCÍCIOS</a:t>
          </a:r>
        </a:p>
        <a:p>
          <a:endParaRPr lang="pt-BR" sz="1100"/>
        </a:p>
        <a:p>
          <a:r>
            <a:rPr lang="pt-BR" sz="1100" b="1"/>
            <a:t>1 -</a:t>
          </a:r>
          <a:r>
            <a:rPr lang="pt-BR" sz="1100"/>
            <a:t> </a:t>
          </a:r>
          <a:r>
            <a:rPr lang="pt-BR" sz="1100" i="1"/>
            <a:t>DE</a:t>
          </a:r>
          <a:r>
            <a:rPr lang="pt-BR" sz="1100" i="1" baseline="0"/>
            <a:t> O NOME DO BANCO DE DADOS DE </a:t>
          </a:r>
          <a:r>
            <a:rPr lang="pt-BR" sz="1100" b="1" i="1" baseline="0"/>
            <a:t>BASEREL</a:t>
          </a:r>
          <a:r>
            <a:rPr lang="pt-BR" sz="1100" i="1" baseline="0"/>
            <a:t>.</a:t>
          </a:r>
        </a:p>
        <a:p>
          <a:r>
            <a:rPr lang="pt-BR" sz="1100" b="1" baseline="0"/>
            <a:t>2 -</a:t>
          </a:r>
          <a:r>
            <a:rPr lang="pt-BR" sz="1100" baseline="0"/>
            <a:t> </a:t>
          </a:r>
          <a:r>
            <a:rPr lang="pt-BR" sz="1100" i="1" baseline="0"/>
            <a:t>CRIE UM CRITÉRIO VISANDO COPIAR OS REGISTROS REFERENTE AO </a:t>
          </a:r>
          <a:r>
            <a:rPr lang="pt-BR" sz="1100" b="1" i="1" baseline="0"/>
            <a:t>TIPO DE ACOMODAÇÃO SIMPLES</a:t>
          </a:r>
          <a:r>
            <a:rPr lang="pt-BR" sz="1100" i="1" baseline="0"/>
            <a:t>.</a:t>
          </a:r>
        </a:p>
        <a:p>
          <a:r>
            <a:rPr lang="pt-BR" sz="1100" b="1" baseline="0"/>
            <a:t>3 -</a:t>
          </a:r>
          <a:r>
            <a:rPr lang="pt-BR" sz="1100" baseline="0"/>
            <a:t> </a:t>
          </a:r>
          <a:r>
            <a:rPr lang="pt-BR" sz="1100" i="1" baseline="0"/>
            <a:t>DE O NOME DO CRITÉRIO DE </a:t>
          </a:r>
          <a:r>
            <a:rPr lang="pt-BR" sz="1100" b="1" i="1" baseline="0"/>
            <a:t>CRITERIOMACRO</a:t>
          </a:r>
          <a:r>
            <a:rPr lang="pt-BR" sz="1100" i="1" baseline="0"/>
            <a:t>.</a:t>
          </a:r>
        </a:p>
        <a:p>
          <a:r>
            <a:rPr lang="pt-BR" sz="1100" b="1" baseline="0"/>
            <a:t>4 -</a:t>
          </a:r>
          <a:r>
            <a:rPr lang="pt-BR" sz="1100" baseline="0"/>
            <a:t> </a:t>
          </a:r>
          <a:r>
            <a:rPr lang="pt-BR" sz="1100" i="1" baseline="0"/>
            <a:t>GRAVE UMA MACRO COM O NOME DE </a:t>
          </a:r>
          <a:r>
            <a:rPr lang="pt-BR" sz="1100" b="1" i="1" baseline="0"/>
            <a:t>RELATORIO</a:t>
          </a:r>
          <a:r>
            <a:rPr lang="pt-BR" sz="1100" i="1" baseline="0"/>
            <a:t> QUE COPIE TODOS OS REGISTROS DO BANCO DE DADOS RELACIONADO A INFORMAÇÃO QUE ESTIVER NO </a:t>
          </a:r>
          <a:r>
            <a:rPr lang="pt-BR" sz="1100" b="1" i="1" baseline="0"/>
            <a:t>CRITÉRIO</a:t>
          </a:r>
          <a:r>
            <a:rPr lang="pt-BR" sz="1100" i="1" baseline="0"/>
            <a:t> E FAÇA COM QUE A MACRO COLE ESSAS INFORMAÇÕES NA PLANILHA </a:t>
          </a:r>
          <a:r>
            <a:rPr lang="pt-BR" sz="1100" b="1" i="1" baseline="0"/>
            <a:t>RESULTADOREL</a:t>
          </a:r>
          <a:r>
            <a:rPr lang="pt-BR" sz="1100" i="1" baseline="0"/>
            <a:t>.</a:t>
          </a:r>
        </a:p>
        <a:p>
          <a:r>
            <a:rPr lang="pt-BR" sz="1100" b="1" baseline="0"/>
            <a:t>5 -</a:t>
          </a:r>
          <a:r>
            <a:rPr lang="pt-BR" sz="1100" baseline="0"/>
            <a:t> </a:t>
          </a:r>
          <a:r>
            <a:rPr lang="pt-BR" sz="1100" i="1" baseline="0"/>
            <a:t>GRAVE OUTRA MACRO COM O NOME DE </a:t>
          </a:r>
          <a:r>
            <a:rPr lang="pt-BR" sz="1100" b="1" i="1" baseline="0"/>
            <a:t>LIMPAR,</a:t>
          </a:r>
          <a:r>
            <a:rPr lang="pt-BR" sz="1100" i="1" baseline="0"/>
            <a:t> ESTA MACRO DEVERÁ LIMPAR A PLANILHA </a:t>
          </a:r>
          <a:r>
            <a:rPr lang="pt-BR" sz="1100" b="1" i="1" baseline="0"/>
            <a:t>RESULTADOREL</a:t>
          </a:r>
          <a:r>
            <a:rPr lang="pt-BR" sz="1100" i="1" baseline="0"/>
            <a:t> PARA QUE A MESMA FIQUE VAZIA PARA RECEBER OUTRAS INFORMAÇÕES.</a:t>
          </a:r>
        </a:p>
        <a:p>
          <a:r>
            <a:rPr lang="pt-BR" sz="1100" b="1" baseline="0"/>
            <a:t>6 -</a:t>
          </a:r>
          <a:r>
            <a:rPr lang="pt-BR" sz="1100" baseline="0"/>
            <a:t> </a:t>
          </a:r>
          <a:r>
            <a:rPr lang="pt-BR" sz="1100" i="1" baseline="0"/>
            <a:t>CRIE DOIS BOTÕES NA </a:t>
          </a:r>
          <a:r>
            <a:rPr lang="pt-BR" sz="1100" b="1" i="1" baseline="0"/>
            <a:t>BARRA DE FERRAMENTAS INICIALIZAÇÃO RÁPIDA</a:t>
          </a:r>
          <a:r>
            <a:rPr lang="pt-BR" sz="1100" i="1" baseline="0"/>
            <a:t> E ASSOCIE AS DUAS MACROS CRIADAS NESSES BOTÕES.</a:t>
          </a:r>
        </a:p>
        <a:p>
          <a:r>
            <a:rPr lang="pt-BR" sz="1100" b="1" baseline="0"/>
            <a:t>7 -</a:t>
          </a:r>
          <a:r>
            <a:rPr lang="pt-BR" sz="1100" baseline="0"/>
            <a:t> </a:t>
          </a:r>
          <a:r>
            <a:rPr lang="pt-BR" sz="1100" i="1" baseline="0"/>
            <a:t>UTILIZE AS MACRO PARA VER SEU FUNCIONAMENTO.</a:t>
          </a:r>
          <a:endParaRPr lang="pt-BR" sz="1100" i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0</xdr:row>
          <xdr:rowOff>19050</xdr:rowOff>
        </xdr:from>
        <xdr:to>
          <xdr:col>9</xdr:col>
          <xdr:colOff>352425</xdr:colOff>
          <xdr:row>2</xdr:row>
          <xdr:rowOff>114300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Relatório</a:t>
              </a:r>
              <a:endParaRPr lang="pt-BR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008000"/>
  </sheetPr>
  <dimension ref="A1:I19"/>
  <sheetViews>
    <sheetView showGridLines="0" workbookViewId="0">
      <selection activeCell="A3" sqref="A3"/>
    </sheetView>
  </sheetViews>
  <sheetFormatPr defaultRowHeight="12.75" x14ac:dyDescent="0.2"/>
  <cols>
    <col min="1" max="1" width="17.7109375" bestFit="1" customWidth="1"/>
    <col min="2" max="2" width="10.28515625" bestFit="1" customWidth="1"/>
    <col min="3" max="3" width="12" customWidth="1"/>
    <col min="4" max="4" width="8.140625" bestFit="1" customWidth="1"/>
    <col min="5" max="5" width="9.5703125" customWidth="1"/>
    <col min="6" max="6" width="11" customWidth="1"/>
    <col min="7" max="8" width="9.28515625" bestFit="1" customWidth="1"/>
    <col min="9" max="9" width="10.28515625" bestFit="1" customWidth="1"/>
  </cols>
  <sheetData>
    <row r="1" spans="1:9" ht="15.75" x14ac:dyDescent="0.25">
      <c r="A1" s="22" t="s">
        <v>2</v>
      </c>
      <c r="B1" s="22"/>
      <c r="C1" s="22"/>
      <c r="D1" s="22"/>
      <c r="E1" s="22"/>
      <c r="F1" s="22"/>
      <c r="G1" s="22"/>
      <c r="H1" s="22"/>
      <c r="I1" s="22"/>
    </row>
    <row r="3" spans="1:9" ht="25.5" x14ac:dyDescent="0.2">
      <c r="A3" s="23" t="s">
        <v>3</v>
      </c>
      <c r="B3" s="23" t="s">
        <v>4</v>
      </c>
      <c r="C3" s="23" t="s">
        <v>5</v>
      </c>
      <c r="D3" s="23" t="s">
        <v>6</v>
      </c>
      <c r="E3" s="23" t="s">
        <v>7</v>
      </c>
      <c r="F3" s="23" t="s">
        <v>8</v>
      </c>
      <c r="G3" s="23" t="s">
        <v>0</v>
      </c>
      <c r="H3" s="23" t="s">
        <v>1</v>
      </c>
      <c r="I3" s="23" t="s">
        <v>9</v>
      </c>
    </row>
    <row r="4" spans="1:9" x14ac:dyDescent="0.2">
      <c r="A4" s="24" t="s">
        <v>10</v>
      </c>
      <c r="B4" s="25">
        <v>380</v>
      </c>
      <c r="C4" s="24">
        <v>2</v>
      </c>
      <c r="D4" s="25">
        <v>40</v>
      </c>
      <c r="E4" s="25">
        <v>0</v>
      </c>
      <c r="F4" s="25">
        <v>22.8</v>
      </c>
      <c r="G4" s="25">
        <v>5.7</v>
      </c>
      <c r="H4" s="25">
        <v>1.9000000000000001</v>
      </c>
      <c r="I4" s="25">
        <v>309.60000000000002</v>
      </c>
    </row>
    <row r="5" spans="1:9" x14ac:dyDescent="0.2">
      <c r="A5" s="24" t="s">
        <v>11</v>
      </c>
      <c r="B5" s="25">
        <v>580</v>
      </c>
      <c r="C5" s="24">
        <v>1</v>
      </c>
      <c r="D5" s="25">
        <v>20</v>
      </c>
      <c r="E5" s="25">
        <v>0</v>
      </c>
      <c r="F5" s="25">
        <v>34.799999999999997</v>
      </c>
      <c r="G5" s="25">
        <v>8.6999999999999993</v>
      </c>
      <c r="H5" s="25">
        <v>2.9</v>
      </c>
      <c r="I5" s="25">
        <v>513.6</v>
      </c>
    </row>
    <row r="6" spans="1:9" x14ac:dyDescent="0.2">
      <c r="A6" s="24" t="s">
        <v>12</v>
      </c>
      <c r="B6" s="25">
        <v>950</v>
      </c>
      <c r="C6" s="24">
        <v>4</v>
      </c>
      <c r="D6" s="25">
        <v>80</v>
      </c>
      <c r="E6" s="25">
        <v>0</v>
      </c>
      <c r="F6" s="25">
        <v>57</v>
      </c>
      <c r="G6" s="25">
        <v>28.5</v>
      </c>
      <c r="H6" s="25">
        <v>11.4</v>
      </c>
      <c r="I6" s="25">
        <v>773.1</v>
      </c>
    </row>
    <row r="7" spans="1:9" x14ac:dyDescent="0.2">
      <c r="A7" s="24" t="s">
        <v>13</v>
      </c>
      <c r="B7" s="25">
        <v>1254</v>
      </c>
      <c r="C7" s="24">
        <v>2</v>
      </c>
      <c r="D7" s="25">
        <v>40</v>
      </c>
      <c r="E7" s="25">
        <v>0</v>
      </c>
      <c r="F7" s="25">
        <v>75.239999999999995</v>
      </c>
      <c r="G7" s="25">
        <v>51.6648</v>
      </c>
      <c r="H7" s="25">
        <v>22.571999999999999</v>
      </c>
      <c r="I7" s="25">
        <v>1064.5232000000001</v>
      </c>
    </row>
    <row r="8" spans="1:9" x14ac:dyDescent="0.2">
      <c r="A8" s="24" t="s">
        <v>14</v>
      </c>
      <c r="B8" s="25">
        <v>1800</v>
      </c>
      <c r="C8" s="24">
        <v>3</v>
      </c>
      <c r="D8" s="25">
        <v>90</v>
      </c>
      <c r="E8" s="25">
        <v>32.400000000000006</v>
      </c>
      <c r="F8" s="25">
        <v>108</v>
      </c>
      <c r="G8" s="25">
        <v>74.16</v>
      </c>
      <c r="H8" s="25">
        <v>32.4</v>
      </c>
      <c r="I8" s="25">
        <v>1463.0399999999997</v>
      </c>
    </row>
    <row r="9" spans="1:9" x14ac:dyDescent="0.2">
      <c r="A9" s="24" t="s">
        <v>15</v>
      </c>
      <c r="B9" s="25">
        <v>2500</v>
      </c>
      <c r="C9" s="24">
        <v>5</v>
      </c>
      <c r="D9" s="25">
        <v>150</v>
      </c>
      <c r="E9" s="25">
        <v>45.000000000000007</v>
      </c>
      <c r="F9" s="25">
        <v>150</v>
      </c>
      <c r="G9" s="25">
        <v>125</v>
      </c>
      <c r="H9" s="25">
        <v>50</v>
      </c>
      <c r="I9" s="25">
        <v>1980</v>
      </c>
    </row>
    <row r="10" spans="1:9" x14ac:dyDescent="0.2">
      <c r="A10" s="24" t="s">
        <v>16</v>
      </c>
      <c r="B10" s="25">
        <v>45000</v>
      </c>
      <c r="C10" s="24">
        <v>1</v>
      </c>
      <c r="D10" s="25">
        <v>30</v>
      </c>
      <c r="E10" s="25">
        <v>810.00000000000011</v>
      </c>
      <c r="F10" s="25">
        <v>2700</v>
      </c>
      <c r="G10" s="25">
        <v>4950</v>
      </c>
      <c r="H10" s="25">
        <v>1800</v>
      </c>
      <c r="I10" s="25">
        <v>34710</v>
      </c>
    </row>
    <row r="11" spans="1:9" x14ac:dyDescent="0.2">
      <c r="A11" s="24" t="s">
        <v>17</v>
      </c>
      <c r="B11" s="25">
        <v>354</v>
      </c>
      <c r="C11" s="24">
        <v>1</v>
      </c>
      <c r="D11" s="25">
        <v>20</v>
      </c>
      <c r="E11" s="25">
        <v>0</v>
      </c>
      <c r="F11" s="25">
        <v>21.24</v>
      </c>
      <c r="G11" s="25">
        <v>5.31</v>
      </c>
      <c r="H11" s="25">
        <v>1.77</v>
      </c>
      <c r="I11" s="25">
        <v>305.68</v>
      </c>
    </row>
    <row r="12" spans="1:9" x14ac:dyDescent="0.2">
      <c r="A12" s="24" t="s">
        <v>18</v>
      </c>
      <c r="B12" s="25">
        <v>800</v>
      </c>
      <c r="C12" s="24">
        <v>5</v>
      </c>
      <c r="D12" s="25">
        <v>100</v>
      </c>
      <c r="E12" s="25">
        <v>0</v>
      </c>
      <c r="F12" s="25">
        <v>48</v>
      </c>
      <c r="G12" s="25">
        <v>20</v>
      </c>
      <c r="H12" s="25">
        <v>4.8</v>
      </c>
      <c r="I12" s="25">
        <v>627.20000000000005</v>
      </c>
    </row>
    <row r="13" spans="1:9" x14ac:dyDescent="0.2">
      <c r="A13" s="24" t="s">
        <v>19</v>
      </c>
      <c r="B13" s="25">
        <v>950</v>
      </c>
      <c r="C13" s="24">
        <v>4</v>
      </c>
      <c r="D13" s="25">
        <v>80</v>
      </c>
      <c r="E13" s="25">
        <v>0</v>
      </c>
      <c r="F13" s="25">
        <v>57</v>
      </c>
      <c r="G13" s="25">
        <v>28.5</v>
      </c>
      <c r="H13" s="25">
        <v>11.4</v>
      </c>
      <c r="I13" s="25">
        <v>773.1</v>
      </c>
    </row>
    <row r="14" spans="1:9" x14ac:dyDescent="0.2">
      <c r="A14" s="24" t="s">
        <v>20</v>
      </c>
      <c r="B14" s="25">
        <v>1800</v>
      </c>
      <c r="C14" s="24">
        <v>3</v>
      </c>
      <c r="D14" s="25">
        <v>90</v>
      </c>
      <c r="E14" s="25">
        <v>32.400000000000006</v>
      </c>
      <c r="F14" s="25">
        <v>108</v>
      </c>
      <c r="G14" s="25">
        <v>74.16</v>
      </c>
      <c r="H14" s="25">
        <v>32.4</v>
      </c>
      <c r="I14" s="25">
        <v>1463.0399999999997</v>
      </c>
    </row>
    <row r="15" spans="1:9" x14ac:dyDescent="0.2">
      <c r="A15" s="24" t="s">
        <v>21</v>
      </c>
      <c r="B15" s="25">
        <v>3500</v>
      </c>
      <c r="C15" s="24">
        <v>2</v>
      </c>
      <c r="D15" s="25">
        <v>60</v>
      </c>
      <c r="E15" s="25">
        <v>63.000000000000007</v>
      </c>
      <c r="F15" s="25">
        <v>210</v>
      </c>
      <c r="G15" s="25">
        <v>175</v>
      </c>
      <c r="H15" s="25">
        <v>70</v>
      </c>
      <c r="I15" s="25">
        <v>2922</v>
      </c>
    </row>
    <row r="16" spans="1:9" x14ac:dyDescent="0.2">
      <c r="A16" s="26" t="s">
        <v>22</v>
      </c>
      <c r="B16" s="27">
        <v>59868</v>
      </c>
      <c r="C16" s="26">
        <v>33</v>
      </c>
      <c r="D16" s="27">
        <v>800</v>
      </c>
      <c r="E16" s="27">
        <v>982.80000000000007</v>
      </c>
      <c r="F16" s="27">
        <v>3592.08</v>
      </c>
      <c r="G16" s="27">
        <v>5546.6948000000002</v>
      </c>
      <c r="H16" s="27">
        <v>2041.5420000000001</v>
      </c>
      <c r="I16" s="27">
        <v>46904.883199999997</v>
      </c>
    </row>
    <row r="17" spans="1:9" x14ac:dyDescent="0.2">
      <c r="A17" s="26" t="s">
        <v>23</v>
      </c>
      <c r="B17" s="27">
        <v>45000</v>
      </c>
      <c r="C17" s="26">
        <v>5</v>
      </c>
      <c r="D17" s="27">
        <v>150</v>
      </c>
      <c r="E17" s="27">
        <v>810.00000000000011</v>
      </c>
      <c r="F17" s="27">
        <v>2700</v>
      </c>
      <c r="G17" s="27">
        <v>4950</v>
      </c>
      <c r="H17" s="27">
        <v>1800</v>
      </c>
      <c r="I17" s="27">
        <v>34710</v>
      </c>
    </row>
    <row r="18" spans="1:9" x14ac:dyDescent="0.2">
      <c r="A18" s="26" t="s">
        <v>24</v>
      </c>
      <c r="B18" s="27">
        <v>354</v>
      </c>
      <c r="C18" s="26">
        <v>1</v>
      </c>
      <c r="D18" s="27">
        <v>20</v>
      </c>
      <c r="E18" s="27">
        <v>0</v>
      </c>
      <c r="F18" s="27">
        <v>21.24</v>
      </c>
      <c r="G18" s="27">
        <v>5.31</v>
      </c>
      <c r="H18" s="27">
        <v>1.77</v>
      </c>
      <c r="I18" s="27">
        <v>305.68</v>
      </c>
    </row>
    <row r="19" spans="1:9" x14ac:dyDescent="0.2">
      <c r="A19" s="26" t="s">
        <v>25</v>
      </c>
      <c r="B19" s="27">
        <v>4989</v>
      </c>
      <c r="C19" s="26">
        <v>2.75</v>
      </c>
      <c r="D19" s="27">
        <v>66.666666666666671</v>
      </c>
      <c r="E19" s="27">
        <v>81.900000000000006</v>
      </c>
      <c r="F19" s="27">
        <v>299.33999999999997</v>
      </c>
      <c r="G19" s="27">
        <v>462.2245666666667</v>
      </c>
      <c r="H19" s="27">
        <v>170.1285</v>
      </c>
      <c r="I19" s="27">
        <v>3908.7402666666662</v>
      </c>
    </row>
  </sheetData>
  <mergeCells count="1">
    <mergeCell ref="A1:I1"/>
  </mergeCells>
  <phoneticPr fontId="3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theme="9" tint="-0.249977111117893"/>
  </sheetPr>
  <dimension ref="A1:I19"/>
  <sheetViews>
    <sheetView showGridLines="0" workbookViewId="0">
      <selection activeCell="A3" sqref="A3"/>
    </sheetView>
  </sheetViews>
  <sheetFormatPr defaultRowHeight="12.75" x14ac:dyDescent="0.2"/>
  <cols>
    <col min="1" max="1" width="17.7109375" bestFit="1" customWidth="1"/>
    <col min="2" max="2" width="10.28515625" bestFit="1" customWidth="1"/>
    <col min="3" max="3" width="12" customWidth="1"/>
    <col min="4" max="4" width="10.42578125" bestFit="1" customWidth="1"/>
    <col min="5" max="5" width="9.5703125" customWidth="1"/>
    <col min="6" max="6" width="11" customWidth="1"/>
    <col min="7" max="8" width="9.28515625" bestFit="1" customWidth="1"/>
    <col min="9" max="9" width="10.28515625" bestFit="1" customWidth="1"/>
  </cols>
  <sheetData>
    <row r="1" spans="1:9" ht="15.75" x14ac:dyDescent="0.25">
      <c r="A1" s="22" t="s">
        <v>2</v>
      </c>
      <c r="B1" s="22"/>
      <c r="C1" s="22"/>
      <c r="D1" s="22"/>
      <c r="E1" s="22"/>
      <c r="F1" s="22"/>
      <c r="G1" s="22"/>
      <c r="H1" s="22"/>
      <c r="I1" s="22"/>
    </row>
    <row r="3" spans="1:9" ht="25.5" x14ac:dyDescent="0.2">
      <c r="A3" s="28" t="s">
        <v>3</v>
      </c>
      <c r="B3" s="28" t="s">
        <v>4</v>
      </c>
      <c r="C3" s="28" t="s">
        <v>5</v>
      </c>
      <c r="D3" s="28" t="s">
        <v>6</v>
      </c>
      <c r="E3" s="28" t="s">
        <v>7</v>
      </c>
      <c r="F3" s="28" t="s">
        <v>8</v>
      </c>
      <c r="G3" s="28" t="s">
        <v>0</v>
      </c>
      <c r="H3" s="28" t="s">
        <v>1</v>
      </c>
      <c r="I3" s="28" t="s">
        <v>9</v>
      </c>
    </row>
    <row r="4" spans="1:9" x14ac:dyDescent="0.2">
      <c r="A4" s="24" t="s">
        <v>10</v>
      </c>
      <c r="B4" s="25">
        <v>380</v>
      </c>
      <c r="C4" s="24">
        <v>2</v>
      </c>
      <c r="D4" s="25">
        <v>40</v>
      </c>
      <c r="E4" s="25">
        <v>0</v>
      </c>
      <c r="F4" s="25">
        <v>22.8</v>
      </c>
      <c r="G4" s="25">
        <v>5.7</v>
      </c>
      <c r="H4" s="25">
        <v>1.9000000000000001</v>
      </c>
      <c r="I4" s="25">
        <v>309.60000000000002</v>
      </c>
    </row>
    <row r="5" spans="1:9" x14ac:dyDescent="0.2">
      <c r="A5" s="24" t="s">
        <v>11</v>
      </c>
      <c r="B5" s="25">
        <v>580</v>
      </c>
      <c r="C5" s="24">
        <v>1</v>
      </c>
      <c r="D5" s="25">
        <v>20</v>
      </c>
      <c r="E5" s="25">
        <v>0</v>
      </c>
      <c r="F5" s="25">
        <v>34.799999999999997</v>
      </c>
      <c r="G5" s="25">
        <v>8.6999999999999993</v>
      </c>
      <c r="H5" s="25">
        <v>2.9</v>
      </c>
      <c r="I5" s="25">
        <v>513.6</v>
      </c>
    </row>
    <row r="6" spans="1:9" x14ac:dyDescent="0.2">
      <c r="A6" s="24" t="s">
        <v>12</v>
      </c>
      <c r="B6" s="25">
        <v>950</v>
      </c>
      <c r="C6" s="24">
        <v>4</v>
      </c>
      <c r="D6" s="25">
        <v>80</v>
      </c>
      <c r="E6" s="25">
        <v>0</v>
      </c>
      <c r="F6" s="25">
        <v>57</v>
      </c>
      <c r="G6" s="25">
        <v>28.5</v>
      </c>
      <c r="H6" s="25">
        <v>11.4</v>
      </c>
      <c r="I6" s="25">
        <v>773.1</v>
      </c>
    </row>
    <row r="7" spans="1:9" x14ac:dyDescent="0.2">
      <c r="A7" s="24" t="s">
        <v>13</v>
      </c>
      <c r="B7" s="25">
        <v>1254</v>
      </c>
      <c r="C7" s="24">
        <v>2</v>
      </c>
      <c r="D7" s="25">
        <v>40</v>
      </c>
      <c r="E7" s="25">
        <v>0</v>
      </c>
      <c r="F7" s="25">
        <v>75.239999999999995</v>
      </c>
      <c r="G7" s="25">
        <v>51.6648</v>
      </c>
      <c r="H7" s="25">
        <v>22.571999999999999</v>
      </c>
      <c r="I7" s="25">
        <v>1064.5232000000001</v>
      </c>
    </row>
    <row r="8" spans="1:9" x14ac:dyDescent="0.2">
      <c r="A8" s="24" t="s">
        <v>14</v>
      </c>
      <c r="B8" s="25">
        <v>1800</v>
      </c>
      <c r="C8" s="24">
        <v>3</v>
      </c>
      <c r="D8" s="25">
        <v>90</v>
      </c>
      <c r="E8" s="25">
        <v>32.400000000000006</v>
      </c>
      <c r="F8" s="25">
        <v>108</v>
      </c>
      <c r="G8" s="25">
        <v>74.16</v>
      </c>
      <c r="H8" s="25">
        <v>32.4</v>
      </c>
      <c r="I8" s="25">
        <v>1463.0399999999997</v>
      </c>
    </row>
    <row r="9" spans="1:9" x14ac:dyDescent="0.2">
      <c r="A9" s="24" t="s">
        <v>26</v>
      </c>
      <c r="B9" s="25">
        <v>2500</v>
      </c>
      <c r="C9" s="24">
        <v>5</v>
      </c>
      <c r="D9" s="25">
        <v>150</v>
      </c>
      <c r="E9" s="25">
        <v>45.000000000000007</v>
      </c>
      <c r="F9" s="25">
        <v>150</v>
      </c>
      <c r="G9" s="25">
        <v>125</v>
      </c>
      <c r="H9" s="25">
        <v>50</v>
      </c>
      <c r="I9" s="25">
        <v>1980</v>
      </c>
    </row>
    <row r="10" spans="1:9" x14ac:dyDescent="0.2">
      <c r="A10" s="24" t="s">
        <v>16</v>
      </c>
      <c r="B10" s="25">
        <v>45000</v>
      </c>
      <c r="C10" s="24">
        <v>1</v>
      </c>
      <c r="D10" s="25">
        <v>30</v>
      </c>
      <c r="E10" s="25">
        <v>810.00000000000011</v>
      </c>
      <c r="F10" s="25">
        <v>2700</v>
      </c>
      <c r="G10" s="25">
        <v>4950</v>
      </c>
      <c r="H10" s="25">
        <v>1800</v>
      </c>
      <c r="I10" s="25">
        <v>34710</v>
      </c>
    </row>
    <row r="11" spans="1:9" x14ac:dyDescent="0.2">
      <c r="A11" s="24" t="s">
        <v>17</v>
      </c>
      <c r="B11" s="25">
        <v>354</v>
      </c>
      <c r="C11" s="24">
        <v>1</v>
      </c>
      <c r="D11" s="25">
        <v>20</v>
      </c>
      <c r="E11" s="25">
        <v>0</v>
      </c>
      <c r="F11" s="25">
        <v>21.24</v>
      </c>
      <c r="G11" s="25">
        <v>5.31</v>
      </c>
      <c r="H11" s="25">
        <v>1.77</v>
      </c>
      <c r="I11" s="25">
        <v>305.68</v>
      </c>
    </row>
    <row r="12" spans="1:9" x14ac:dyDescent="0.2">
      <c r="A12" s="24" t="s">
        <v>27</v>
      </c>
      <c r="B12" s="25">
        <v>800</v>
      </c>
      <c r="C12" s="24">
        <v>5</v>
      </c>
      <c r="D12" s="25">
        <v>100</v>
      </c>
      <c r="E12" s="25">
        <v>0</v>
      </c>
      <c r="F12" s="25">
        <v>48</v>
      </c>
      <c r="G12" s="25">
        <v>20</v>
      </c>
      <c r="H12" s="25">
        <v>4.8</v>
      </c>
      <c r="I12" s="25">
        <v>627.20000000000005</v>
      </c>
    </row>
    <row r="13" spans="1:9" x14ac:dyDescent="0.2">
      <c r="A13" s="24" t="s">
        <v>19</v>
      </c>
      <c r="B13" s="25">
        <v>950</v>
      </c>
      <c r="C13" s="24">
        <v>4</v>
      </c>
      <c r="D13" s="25">
        <v>80</v>
      </c>
      <c r="E13" s="25">
        <v>0</v>
      </c>
      <c r="F13" s="25">
        <v>57</v>
      </c>
      <c r="G13" s="25">
        <v>28.5</v>
      </c>
      <c r="H13" s="25">
        <v>11.4</v>
      </c>
      <c r="I13" s="25">
        <v>773.1</v>
      </c>
    </row>
    <row r="14" spans="1:9" x14ac:dyDescent="0.2">
      <c r="A14" s="24" t="s">
        <v>20</v>
      </c>
      <c r="B14" s="25">
        <v>1800</v>
      </c>
      <c r="C14" s="24">
        <v>3</v>
      </c>
      <c r="D14" s="25">
        <v>90</v>
      </c>
      <c r="E14" s="25">
        <v>32.400000000000006</v>
      </c>
      <c r="F14" s="25">
        <v>108</v>
      </c>
      <c r="G14" s="25">
        <v>74.16</v>
      </c>
      <c r="H14" s="25">
        <v>32.4</v>
      </c>
      <c r="I14" s="25">
        <v>1463.0399999999997</v>
      </c>
    </row>
    <row r="15" spans="1:9" x14ac:dyDescent="0.2">
      <c r="A15" s="24" t="s">
        <v>21</v>
      </c>
      <c r="B15" s="25">
        <v>3500</v>
      </c>
      <c r="C15" s="24">
        <v>2</v>
      </c>
      <c r="D15" s="25">
        <v>60</v>
      </c>
      <c r="E15" s="25">
        <v>63.000000000000007</v>
      </c>
      <c r="F15" s="25">
        <v>210</v>
      </c>
      <c r="G15" s="25">
        <v>175</v>
      </c>
      <c r="H15" s="25">
        <v>70</v>
      </c>
      <c r="I15" s="25">
        <v>2922</v>
      </c>
    </row>
    <row r="16" spans="1:9" x14ac:dyDescent="0.2">
      <c r="A16" s="26" t="s">
        <v>22</v>
      </c>
      <c r="B16" s="27">
        <v>59868</v>
      </c>
      <c r="C16" s="26">
        <v>33</v>
      </c>
      <c r="D16" s="27">
        <v>800</v>
      </c>
      <c r="E16" s="27">
        <v>982.80000000000007</v>
      </c>
      <c r="F16" s="27">
        <v>3592.08</v>
      </c>
      <c r="G16" s="27">
        <v>5546.6948000000002</v>
      </c>
      <c r="H16" s="27">
        <v>2041.5420000000001</v>
      </c>
      <c r="I16" s="27">
        <v>46904.883199999997</v>
      </c>
    </row>
    <row r="17" spans="1:9" x14ac:dyDescent="0.2">
      <c r="A17" s="26" t="s">
        <v>23</v>
      </c>
      <c r="B17" s="27">
        <v>45000</v>
      </c>
      <c r="C17" s="26">
        <v>5</v>
      </c>
      <c r="D17" s="27">
        <v>150</v>
      </c>
      <c r="E17" s="27">
        <v>810.00000000000011</v>
      </c>
      <c r="F17" s="27">
        <v>2700</v>
      </c>
      <c r="G17" s="27">
        <v>4950</v>
      </c>
      <c r="H17" s="27">
        <v>1800</v>
      </c>
      <c r="I17" s="27">
        <v>34710</v>
      </c>
    </row>
    <row r="18" spans="1:9" x14ac:dyDescent="0.2">
      <c r="A18" s="26" t="s">
        <v>24</v>
      </c>
      <c r="B18" s="27">
        <v>354</v>
      </c>
      <c r="C18" s="26">
        <v>1</v>
      </c>
      <c r="D18" s="27">
        <v>20</v>
      </c>
      <c r="E18" s="27">
        <v>0</v>
      </c>
      <c r="F18" s="27">
        <v>21.24</v>
      </c>
      <c r="G18" s="27">
        <v>5.31</v>
      </c>
      <c r="H18" s="27">
        <v>1.77</v>
      </c>
      <c r="I18" s="27">
        <v>305.68</v>
      </c>
    </row>
    <row r="19" spans="1:9" x14ac:dyDescent="0.2">
      <c r="A19" s="26" t="s">
        <v>25</v>
      </c>
      <c r="B19" s="27">
        <v>4989</v>
      </c>
      <c r="C19" s="26">
        <v>2.75</v>
      </c>
      <c r="D19" s="27">
        <v>66.666666666666671</v>
      </c>
      <c r="E19" s="27">
        <v>81.900000000000006</v>
      </c>
      <c r="F19" s="27">
        <v>299.33999999999997</v>
      </c>
      <c r="G19" s="27">
        <v>462.2245666666667</v>
      </c>
      <c r="H19" s="27">
        <v>170.1285</v>
      </c>
      <c r="I19" s="27">
        <v>3908.7402666666662</v>
      </c>
    </row>
  </sheetData>
  <mergeCells count="1">
    <mergeCell ref="A1:I1"/>
  </mergeCells>
  <phoneticPr fontId="3" type="noConversion"/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theme="9" tint="-0.249977111117893"/>
  </sheetPr>
  <dimension ref="A1:I19"/>
  <sheetViews>
    <sheetView showGridLines="0" workbookViewId="0">
      <selection activeCell="A3" sqref="A3:I19"/>
    </sheetView>
  </sheetViews>
  <sheetFormatPr defaultRowHeight="12.75" x14ac:dyDescent="0.2"/>
  <cols>
    <col min="1" max="1" width="17.7109375" bestFit="1" customWidth="1"/>
    <col min="2" max="2" width="10.28515625" bestFit="1" customWidth="1"/>
    <col min="3" max="3" width="12" customWidth="1"/>
    <col min="4" max="4" width="9.28515625" bestFit="1" customWidth="1"/>
    <col min="5" max="5" width="9.5703125" customWidth="1"/>
    <col min="6" max="6" width="11" customWidth="1"/>
    <col min="7" max="8" width="9.28515625" bestFit="1" customWidth="1"/>
    <col min="9" max="9" width="10.28515625" bestFit="1" customWidth="1"/>
  </cols>
  <sheetData>
    <row r="1" spans="1:9" ht="15.75" x14ac:dyDescent="0.25">
      <c r="A1" s="22" t="s">
        <v>2</v>
      </c>
      <c r="B1" s="22"/>
      <c r="C1" s="22"/>
      <c r="D1" s="22"/>
      <c r="E1" s="22"/>
      <c r="F1" s="22"/>
      <c r="G1" s="22"/>
      <c r="H1" s="22"/>
      <c r="I1" s="22"/>
    </row>
    <row r="3" spans="1:9" ht="25.5" x14ac:dyDescent="0.2">
      <c r="A3" s="29" t="s">
        <v>3</v>
      </c>
      <c r="B3" s="29" t="s">
        <v>4</v>
      </c>
      <c r="C3" s="29" t="s">
        <v>5</v>
      </c>
      <c r="D3" s="29" t="s">
        <v>6</v>
      </c>
      <c r="E3" s="29" t="s">
        <v>7</v>
      </c>
      <c r="F3" s="29" t="s">
        <v>8</v>
      </c>
      <c r="G3" s="29" t="s">
        <v>0</v>
      </c>
      <c r="H3" s="29" t="s">
        <v>1</v>
      </c>
      <c r="I3" s="29" t="s">
        <v>9</v>
      </c>
    </row>
    <row r="4" spans="1:9" x14ac:dyDescent="0.2">
      <c r="A4" s="30" t="s">
        <v>10</v>
      </c>
      <c r="B4" s="31">
        <v>380</v>
      </c>
      <c r="C4" s="30">
        <v>2</v>
      </c>
      <c r="D4" s="31">
        <v>40</v>
      </c>
      <c r="E4" s="31">
        <v>0</v>
      </c>
      <c r="F4" s="31">
        <v>22.8</v>
      </c>
      <c r="G4" s="31">
        <v>5.7</v>
      </c>
      <c r="H4" s="31">
        <v>1.9000000000000001</v>
      </c>
      <c r="I4" s="31">
        <v>309.60000000000002</v>
      </c>
    </row>
    <row r="5" spans="1:9" x14ac:dyDescent="0.2">
      <c r="A5" s="30" t="s">
        <v>11</v>
      </c>
      <c r="B5" s="31">
        <v>580</v>
      </c>
      <c r="C5" s="30">
        <v>1</v>
      </c>
      <c r="D5" s="31">
        <v>20</v>
      </c>
      <c r="E5" s="31">
        <v>0</v>
      </c>
      <c r="F5" s="31">
        <v>34.799999999999997</v>
      </c>
      <c r="G5" s="31">
        <v>8.6999999999999993</v>
      </c>
      <c r="H5" s="31">
        <v>2.9</v>
      </c>
      <c r="I5" s="31">
        <v>513.6</v>
      </c>
    </row>
    <row r="6" spans="1:9" x14ac:dyDescent="0.2">
      <c r="A6" s="30" t="s">
        <v>12</v>
      </c>
      <c r="B6" s="31">
        <v>950</v>
      </c>
      <c r="C6" s="30">
        <v>4</v>
      </c>
      <c r="D6" s="31">
        <v>80</v>
      </c>
      <c r="E6" s="31">
        <v>0</v>
      </c>
      <c r="F6" s="31">
        <v>57</v>
      </c>
      <c r="G6" s="31">
        <v>28.5</v>
      </c>
      <c r="H6" s="31">
        <v>11.4</v>
      </c>
      <c r="I6" s="31">
        <v>773.1</v>
      </c>
    </row>
    <row r="7" spans="1:9" x14ac:dyDescent="0.2">
      <c r="A7" s="30" t="s">
        <v>13</v>
      </c>
      <c r="B7" s="31">
        <v>1254</v>
      </c>
      <c r="C7" s="30">
        <v>2</v>
      </c>
      <c r="D7" s="31">
        <v>40</v>
      </c>
      <c r="E7" s="31">
        <v>0</v>
      </c>
      <c r="F7" s="31">
        <v>75.239999999999995</v>
      </c>
      <c r="G7" s="31">
        <v>51.6648</v>
      </c>
      <c r="H7" s="31">
        <v>22.571999999999999</v>
      </c>
      <c r="I7" s="31">
        <v>1064.5232000000001</v>
      </c>
    </row>
    <row r="8" spans="1:9" x14ac:dyDescent="0.2">
      <c r="A8" s="30" t="s">
        <v>14</v>
      </c>
      <c r="B8" s="31">
        <v>1800</v>
      </c>
      <c r="C8" s="30">
        <v>3</v>
      </c>
      <c r="D8" s="31">
        <v>90</v>
      </c>
      <c r="E8" s="31">
        <v>32.400000000000006</v>
      </c>
      <c r="F8" s="31">
        <v>108</v>
      </c>
      <c r="G8" s="31">
        <v>74.16</v>
      </c>
      <c r="H8" s="31">
        <v>32.4</v>
      </c>
      <c r="I8" s="31">
        <v>1463.0399999999997</v>
      </c>
    </row>
    <row r="9" spans="1:9" x14ac:dyDescent="0.2">
      <c r="A9" s="30" t="s">
        <v>15</v>
      </c>
      <c r="B9" s="31">
        <v>2500</v>
      </c>
      <c r="C9" s="30">
        <v>5</v>
      </c>
      <c r="D9" s="31">
        <v>150</v>
      </c>
      <c r="E9" s="31">
        <v>45.000000000000007</v>
      </c>
      <c r="F9" s="31">
        <v>150</v>
      </c>
      <c r="G9" s="31">
        <v>125</v>
      </c>
      <c r="H9" s="31">
        <v>50</v>
      </c>
      <c r="I9" s="31">
        <v>1980</v>
      </c>
    </row>
    <row r="10" spans="1:9" x14ac:dyDescent="0.2">
      <c r="A10" s="30" t="s">
        <v>16</v>
      </c>
      <c r="B10" s="31">
        <v>45000</v>
      </c>
      <c r="C10" s="30">
        <v>1</v>
      </c>
      <c r="D10" s="31">
        <v>30</v>
      </c>
      <c r="E10" s="31">
        <v>810.00000000000011</v>
      </c>
      <c r="F10" s="31">
        <v>2700</v>
      </c>
      <c r="G10" s="31">
        <v>4950</v>
      </c>
      <c r="H10" s="31">
        <v>1800</v>
      </c>
      <c r="I10" s="31">
        <v>34710</v>
      </c>
    </row>
    <row r="11" spans="1:9" x14ac:dyDescent="0.2">
      <c r="A11" s="30" t="s">
        <v>17</v>
      </c>
      <c r="B11" s="31">
        <v>354</v>
      </c>
      <c r="C11" s="30">
        <v>1</v>
      </c>
      <c r="D11" s="31">
        <v>20</v>
      </c>
      <c r="E11" s="31">
        <v>0</v>
      </c>
      <c r="F11" s="31">
        <v>21.24</v>
      </c>
      <c r="G11" s="31">
        <v>5.31</v>
      </c>
      <c r="H11" s="31">
        <v>1.77</v>
      </c>
      <c r="I11" s="31">
        <v>305.68</v>
      </c>
    </row>
    <row r="12" spans="1:9" x14ac:dyDescent="0.2">
      <c r="A12" s="30" t="s">
        <v>18</v>
      </c>
      <c r="B12" s="31">
        <v>800</v>
      </c>
      <c r="C12" s="30">
        <v>5</v>
      </c>
      <c r="D12" s="31">
        <v>100</v>
      </c>
      <c r="E12" s="31">
        <v>0</v>
      </c>
      <c r="F12" s="31">
        <v>48</v>
      </c>
      <c r="G12" s="31">
        <v>20</v>
      </c>
      <c r="H12" s="31">
        <v>4.8</v>
      </c>
      <c r="I12" s="31">
        <v>627.20000000000005</v>
      </c>
    </row>
    <row r="13" spans="1:9" x14ac:dyDescent="0.2">
      <c r="A13" s="30" t="s">
        <v>19</v>
      </c>
      <c r="B13" s="31">
        <v>950</v>
      </c>
      <c r="C13" s="30">
        <v>4</v>
      </c>
      <c r="D13" s="31">
        <v>80</v>
      </c>
      <c r="E13" s="31">
        <v>0</v>
      </c>
      <c r="F13" s="31">
        <v>57</v>
      </c>
      <c r="G13" s="31">
        <v>28.5</v>
      </c>
      <c r="H13" s="31">
        <v>11.4</v>
      </c>
      <c r="I13" s="31">
        <v>773.1</v>
      </c>
    </row>
    <row r="14" spans="1:9" x14ac:dyDescent="0.2">
      <c r="A14" s="30" t="s">
        <v>20</v>
      </c>
      <c r="B14" s="31">
        <v>1800</v>
      </c>
      <c r="C14" s="30">
        <v>3</v>
      </c>
      <c r="D14" s="31">
        <v>90</v>
      </c>
      <c r="E14" s="31">
        <v>32.400000000000006</v>
      </c>
      <c r="F14" s="31">
        <v>108</v>
      </c>
      <c r="G14" s="31">
        <v>74.16</v>
      </c>
      <c r="H14" s="31">
        <v>32.4</v>
      </c>
      <c r="I14" s="31">
        <v>1463.0399999999997</v>
      </c>
    </row>
    <row r="15" spans="1:9" x14ac:dyDescent="0.2">
      <c r="A15" s="30" t="s">
        <v>21</v>
      </c>
      <c r="B15" s="31">
        <v>3500</v>
      </c>
      <c r="C15" s="30">
        <v>2</v>
      </c>
      <c r="D15" s="31">
        <v>60</v>
      </c>
      <c r="E15" s="31">
        <v>63.000000000000007</v>
      </c>
      <c r="F15" s="31">
        <v>210</v>
      </c>
      <c r="G15" s="31">
        <v>175</v>
      </c>
      <c r="H15" s="31">
        <v>70</v>
      </c>
      <c r="I15" s="31">
        <v>2922</v>
      </c>
    </row>
    <row r="16" spans="1:9" x14ac:dyDescent="0.2">
      <c r="A16" s="32" t="s">
        <v>22</v>
      </c>
      <c r="B16" s="33">
        <v>59868</v>
      </c>
      <c r="C16" s="32">
        <v>33</v>
      </c>
      <c r="D16" s="33">
        <v>800</v>
      </c>
      <c r="E16" s="33">
        <v>982.80000000000007</v>
      </c>
      <c r="F16" s="33">
        <v>3592.08</v>
      </c>
      <c r="G16" s="33">
        <v>5546.6948000000002</v>
      </c>
      <c r="H16" s="33">
        <v>2041.5420000000001</v>
      </c>
      <c r="I16" s="33">
        <v>46904.883199999997</v>
      </c>
    </row>
    <row r="17" spans="1:9" x14ac:dyDescent="0.2">
      <c r="A17" s="32" t="s">
        <v>23</v>
      </c>
      <c r="B17" s="33">
        <v>45000</v>
      </c>
      <c r="C17" s="32">
        <v>5</v>
      </c>
      <c r="D17" s="33">
        <v>150</v>
      </c>
      <c r="E17" s="33">
        <v>810.00000000000011</v>
      </c>
      <c r="F17" s="33">
        <v>2700</v>
      </c>
      <c r="G17" s="33">
        <v>4950</v>
      </c>
      <c r="H17" s="33">
        <v>1800</v>
      </c>
      <c r="I17" s="33">
        <v>34710</v>
      </c>
    </row>
    <row r="18" spans="1:9" x14ac:dyDescent="0.2">
      <c r="A18" s="32" t="s">
        <v>24</v>
      </c>
      <c r="B18" s="33">
        <v>354</v>
      </c>
      <c r="C18" s="32">
        <v>1</v>
      </c>
      <c r="D18" s="33">
        <v>20</v>
      </c>
      <c r="E18" s="33">
        <v>0</v>
      </c>
      <c r="F18" s="33">
        <v>21.24</v>
      </c>
      <c r="G18" s="33">
        <v>5.31</v>
      </c>
      <c r="H18" s="33">
        <v>1.77</v>
      </c>
      <c r="I18" s="33">
        <v>305.68</v>
      </c>
    </row>
    <row r="19" spans="1:9" x14ac:dyDescent="0.2">
      <c r="A19" s="32" t="s">
        <v>25</v>
      </c>
      <c r="B19" s="33">
        <v>4989</v>
      </c>
      <c r="C19" s="32">
        <v>2.75</v>
      </c>
      <c r="D19" s="33">
        <v>66.666666666666671</v>
      </c>
      <c r="E19" s="33">
        <v>81.900000000000006</v>
      </c>
      <c r="F19" s="33">
        <v>299.33999999999997</v>
      </c>
      <c r="G19" s="33">
        <v>462.2245666666667</v>
      </c>
      <c r="H19" s="33">
        <v>170.1285</v>
      </c>
      <c r="I19" s="33">
        <v>3908.7402666666662</v>
      </c>
    </row>
  </sheetData>
  <mergeCells count="1">
    <mergeCell ref="A1:I1"/>
  </mergeCells>
  <phoneticPr fontId="3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9" tint="-0.249977111117893"/>
  </sheetPr>
  <dimension ref="A1:I19"/>
  <sheetViews>
    <sheetView workbookViewId="0"/>
  </sheetViews>
  <sheetFormatPr defaultRowHeight="12.75" x14ac:dyDescent="0.2"/>
  <sheetData>
    <row r="1" spans="1:9" x14ac:dyDescent="0.2">
      <c r="A1" s="1" t="s">
        <v>2</v>
      </c>
      <c r="B1" s="1"/>
      <c r="C1" s="1"/>
      <c r="D1" s="1"/>
      <c r="E1" s="1"/>
      <c r="F1" s="1"/>
      <c r="G1" s="1"/>
      <c r="H1" s="1"/>
      <c r="I1" s="1"/>
    </row>
    <row r="3" spans="1:9" x14ac:dyDescent="0.2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0</v>
      </c>
      <c r="H3" t="s">
        <v>1</v>
      </c>
      <c r="I3" t="s">
        <v>9</v>
      </c>
    </row>
    <row r="4" spans="1:9" x14ac:dyDescent="0.2">
      <c r="A4" t="s">
        <v>10</v>
      </c>
      <c r="B4">
        <v>380</v>
      </c>
      <c r="C4">
        <v>2</v>
      </c>
      <c r="D4">
        <v>40</v>
      </c>
      <c r="E4">
        <v>0</v>
      </c>
      <c r="F4">
        <v>22.8</v>
      </c>
      <c r="G4">
        <v>5.7</v>
      </c>
      <c r="H4">
        <v>1.9000000000000001</v>
      </c>
      <c r="I4">
        <v>309.60000000000002</v>
      </c>
    </row>
    <row r="5" spans="1:9" x14ac:dyDescent="0.2">
      <c r="A5" t="s">
        <v>11</v>
      </c>
      <c r="B5">
        <v>580</v>
      </c>
      <c r="C5">
        <v>1</v>
      </c>
      <c r="D5">
        <v>20</v>
      </c>
      <c r="E5">
        <v>0</v>
      </c>
      <c r="F5">
        <v>34.799999999999997</v>
      </c>
      <c r="G5">
        <v>8.6999999999999993</v>
      </c>
      <c r="H5">
        <v>2.9</v>
      </c>
      <c r="I5">
        <v>513.6</v>
      </c>
    </row>
    <row r="6" spans="1:9" x14ac:dyDescent="0.2">
      <c r="A6" t="s">
        <v>12</v>
      </c>
      <c r="B6">
        <v>950</v>
      </c>
      <c r="C6">
        <v>4</v>
      </c>
      <c r="D6">
        <v>80</v>
      </c>
      <c r="E6">
        <v>0</v>
      </c>
      <c r="F6">
        <v>57</v>
      </c>
      <c r="G6">
        <v>28.5</v>
      </c>
      <c r="H6">
        <v>11.4</v>
      </c>
      <c r="I6">
        <v>773.1</v>
      </c>
    </row>
    <row r="7" spans="1:9" x14ac:dyDescent="0.2">
      <c r="A7" t="s">
        <v>13</v>
      </c>
      <c r="B7">
        <v>1254</v>
      </c>
      <c r="C7">
        <v>2</v>
      </c>
      <c r="D7">
        <v>40</v>
      </c>
      <c r="E7">
        <v>0</v>
      </c>
      <c r="F7">
        <v>75.239999999999995</v>
      </c>
      <c r="G7">
        <v>51.6648</v>
      </c>
      <c r="H7">
        <v>22.571999999999999</v>
      </c>
      <c r="I7">
        <v>1064.5232000000001</v>
      </c>
    </row>
    <row r="8" spans="1:9" x14ac:dyDescent="0.2">
      <c r="A8" t="s">
        <v>14</v>
      </c>
      <c r="B8">
        <v>1800</v>
      </c>
      <c r="C8">
        <v>3</v>
      </c>
      <c r="D8">
        <v>90</v>
      </c>
      <c r="E8">
        <v>32.400000000000006</v>
      </c>
      <c r="F8">
        <v>108</v>
      </c>
      <c r="G8">
        <v>74.16</v>
      </c>
      <c r="H8">
        <v>32.4</v>
      </c>
      <c r="I8">
        <v>1463.0399999999997</v>
      </c>
    </row>
    <row r="9" spans="1:9" x14ac:dyDescent="0.2">
      <c r="A9" t="s">
        <v>15</v>
      </c>
      <c r="B9">
        <v>2500</v>
      </c>
      <c r="C9">
        <v>5</v>
      </c>
      <c r="D9">
        <v>150</v>
      </c>
      <c r="E9">
        <v>45.000000000000007</v>
      </c>
      <c r="F9">
        <v>150</v>
      </c>
      <c r="G9">
        <v>125</v>
      </c>
      <c r="H9">
        <v>50</v>
      </c>
      <c r="I9">
        <v>1980</v>
      </c>
    </row>
    <row r="10" spans="1:9" x14ac:dyDescent="0.2">
      <c r="A10" t="s">
        <v>16</v>
      </c>
      <c r="B10">
        <v>45000</v>
      </c>
      <c r="C10">
        <v>1</v>
      </c>
      <c r="D10">
        <v>30</v>
      </c>
      <c r="E10">
        <v>810.00000000000011</v>
      </c>
      <c r="F10">
        <v>2700</v>
      </c>
      <c r="G10">
        <v>4950</v>
      </c>
      <c r="H10">
        <v>1800</v>
      </c>
      <c r="I10">
        <v>34710</v>
      </c>
    </row>
    <row r="11" spans="1:9" x14ac:dyDescent="0.2">
      <c r="A11" t="s">
        <v>17</v>
      </c>
      <c r="B11">
        <v>354</v>
      </c>
      <c r="C11">
        <v>1</v>
      </c>
      <c r="D11">
        <v>20</v>
      </c>
      <c r="E11">
        <v>0</v>
      </c>
      <c r="F11">
        <v>21.24</v>
      </c>
      <c r="G11">
        <v>5.31</v>
      </c>
      <c r="H11">
        <v>1.77</v>
      </c>
      <c r="I11">
        <v>305.68</v>
      </c>
    </row>
    <row r="12" spans="1:9" x14ac:dyDescent="0.2">
      <c r="A12" t="s">
        <v>18</v>
      </c>
      <c r="B12">
        <v>800</v>
      </c>
      <c r="C12">
        <v>5</v>
      </c>
      <c r="D12">
        <v>100</v>
      </c>
      <c r="E12">
        <v>0</v>
      </c>
      <c r="F12">
        <v>48</v>
      </c>
      <c r="G12">
        <v>20</v>
      </c>
      <c r="H12">
        <v>4.8</v>
      </c>
      <c r="I12">
        <v>627.20000000000005</v>
      </c>
    </row>
    <row r="13" spans="1:9" x14ac:dyDescent="0.2">
      <c r="A13" t="s">
        <v>19</v>
      </c>
      <c r="B13">
        <v>950</v>
      </c>
      <c r="C13">
        <v>4</v>
      </c>
      <c r="D13">
        <v>80</v>
      </c>
      <c r="E13">
        <v>0</v>
      </c>
      <c r="F13">
        <v>57</v>
      </c>
      <c r="G13">
        <v>28.5</v>
      </c>
      <c r="H13">
        <v>11.4</v>
      </c>
      <c r="I13">
        <v>773.1</v>
      </c>
    </row>
    <row r="14" spans="1:9" x14ac:dyDescent="0.2">
      <c r="A14" t="s">
        <v>20</v>
      </c>
      <c r="B14">
        <v>1800</v>
      </c>
      <c r="C14">
        <v>3</v>
      </c>
      <c r="D14">
        <v>90</v>
      </c>
      <c r="E14">
        <v>32.400000000000006</v>
      </c>
      <c r="F14">
        <v>108</v>
      </c>
      <c r="G14">
        <v>74.16</v>
      </c>
      <c r="H14">
        <v>32.4</v>
      </c>
      <c r="I14">
        <v>1463.0399999999997</v>
      </c>
    </row>
    <row r="15" spans="1:9" x14ac:dyDescent="0.2">
      <c r="A15" t="s">
        <v>21</v>
      </c>
      <c r="B15">
        <v>3500</v>
      </c>
      <c r="C15">
        <v>2</v>
      </c>
      <c r="D15">
        <v>60</v>
      </c>
      <c r="E15">
        <v>63.000000000000007</v>
      </c>
      <c r="F15">
        <v>210</v>
      </c>
      <c r="G15">
        <v>175</v>
      </c>
      <c r="H15">
        <v>70</v>
      </c>
      <c r="I15">
        <v>2922</v>
      </c>
    </row>
    <row r="16" spans="1:9" x14ac:dyDescent="0.2">
      <c r="A16" t="s">
        <v>22</v>
      </c>
      <c r="B16">
        <v>59868</v>
      </c>
      <c r="C16">
        <v>33</v>
      </c>
      <c r="D16">
        <v>800</v>
      </c>
      <c r="E16">
        <v>982.80000000000007</v>
      </c>
      <c r="F16">
        <v>3592.08</v>
      </c>
      <c r="G16">
        <v>5546.6948000000002</v>
      </c>
      <c r="H16">
        <v>2041.5420000000001</v>
      </c>
      <c r="I16">
        <v>46904.883199999997</v>
      </c>
    </row>
    <row r="17" spans="1:9" x14ac:dyDescent="0.2">
      <c r="A17" t="s">
        <v>23</v>
      </c>
      <c r="B17">
        <v>45000</v>
      </c>
      <c r="C17">
        <v>5</v>
      </c>
      <c r="D17">
        <v>150</v>
      </c>
      <c r="E17">
        <v>810.00000000000011</v>
      </c>
      <c r="F17">
        <v>2700</v>
      </c>
      <c r="G17">
        <v>4950</v>
      </c>
      <c r="H17">
        <v>1800</v>
      </c>
      <c r="I17">
        <v>34710</v>
      </c>
    </row>
    <row r="18" spans="1:9" x14ac:dyDescent="0.2">
      <c r="A18" t="s">
        <v>24</v>
      </c>
      <c r="B18">
        <v>354</v>
      </c>
      <c r="C18">
        <v>1</v>
      </c>
      <c r="D18">
        <v>20</v>
      </c>
      <c r="E18">
        <v>0</v>
      </c>
      <c r="F18">
        <v>21.24</v>
      </c>
      <c r="G18">
        <v>5.31</v>
      </c>
      <c r="H18">
        <v>1.77</v>
      </c>
      <c r="I18">
        <v>305.68</v>
      </c>
    </row>
    <row r="19" spans="1:9" x14ac:dyDescent="0.2">
      <c r="A19" t="s">
        <v>25</v>
      </c>
      <c r="B19">
        <v>4989</v>
      </c>
      <c r="C19">
        <v>2.75</v>
      </c>
      <c r="D19">
        <v>66.666666666666671</v>
      </c>
      <c r="E19">
        <v>81.900000000000006</v>
      </c>
      <c r="F19">
        <v>299.33999999999997</v>
      </c>
      <c r="G19">
        <v>462.2245666666667</v>
      </c>
      <c r="H19">
        <v>170.1285</v>
      </c>
      <c r="I19">
        <v>3908.7402666666662</v>
      </c>
    </row>
  </sheetData>
  <phoneticPr fontId="3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theme="9" tint="-0.249977111117893"/>
  </sheetPr>
  <dimension ref="A1:I19"/>
  <sheetViews>
    <sheetView workbookViewId="0"/>
  </sheetViews>
  <sheetFormatPr defaultRowHeight="12.75" x14ac:dyDescent="0.2"/>
  <sheetData>
    <row r="1" spans="1:9" x14ac:dyDescent="0.2">
      <c r="A1" s="1" t="s">
        <v>2</v>
      </c>
      <c r="B1" s="1"/>
      <c r="C1" s="1"/>
      <c r="D1" s="1"/>
      <c r="E1" s="1"/>
      <c r="F1" s="1"/>
      <c r="G1" s="1"/>
      <c r="H1" s="1"/>
      <c r="I1" s="1"/>
    </row>
    <row r="3" spans="1:9" x14ac:dyDescent="0.2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0</v>
      </c>
      <c r="H3" t="s">
        <v>1</v>
      </c>
      <c r="I3" t="s">
        <v>9</v>
      </c>
    </row>
    <row r="4" spans="1:9" x14ac:dyDescent="0.2">
      <c r="A4" t="s">
        <v>10</v>
      </c>
      <c r="B4">
        <v>380</v>
      </c>
      <c r="C4">
        <v>2</v>
      </c>
      <c r="D4">
        <v>40</v>
      </c>
      <c r="E4">
        <v>0</v>
      </c>
      <c r="F4">
        <v>22.8</v>
      </c>
      <c r="G4">
        <v>5.7</v>
      </c>
      <c r="H4">
        <v>1.9000000000000001</v>
      </c>
      <c r="I4">
        <v>309.60000000000002</v>
      </c>
    </row>
    <row r="5" spans="1:9" x14ac:dyDescent="0.2">
      <c r="A5" t="s">
        <v>11</v>
      </c>
      <c r="B5">
        <v>580</v>
      </c>
      <c r="C5">
        <v>1</v>
      </c>
      <c r="D5">
        <v>20</v>
      </c>
      <c r="E5">
        <v>0</v>
      </c>
      <c r="F5">
        <v>34.799999999999997</v>
      </c>
      <c r="G5">
        <v>8.6999999999999993</v>
      </c>
      <c r="H5">
        <v>2.9</v>
      </c>
      <c r="I5">
        <v>513.6</v>
      </c>
    </row>
    <row r="6" spans="1:9" x14ac:dyDescent="0.2">
      <c r="A6" t="s">
        <v>12</v>
      </c>
      <c r="B6">
        <v>950</v>
      </c>
      <c r="C6">
        <v>4</v>
      </c>
      <c r="D6">
        <v>80</v>
      </c>
      <c r="E6">
        <v>0</v>
      </c>
      <c r="F6">
        <v>57</v>
      </c>
      <c r="G6">
        <v>28.5</v>
      </c>
      <c r="H6">
        <v>11.4</v>
      </c>
      <c r="I6">
        <v>773.1</v>
      </c>
    </row>
    <row r="7" spans="1:9" x14ac:dyDescent="0.2">
      <c r="A7" t="s">
        <v>13</v>
      </c>
      <c r="B7">
        <v>1254</v>
      </c>
      <c r="C7">
        <v>2</v>
      </c>
      <c r="D7">
        <v>40</v>
      </c>
      <c r="E7">
        <v>0</v>
      </c>
      <c r="F7">
        <v>75.239999999999995</v>
      </c>
      <c r="G7">
        <v>51.6648</v>
      </c>
      <c r="H7">
        <v>22.571999999999999</v>
      </c>
      <c r="I7">
        <v>1064.5232000000001</v>
      </c>
    </row>
    <row r="8" spans="1:9" x14ac:dyDescent="0.2">
      <c r="A8" t="s">
        <v>14</v>
      </c>
      <c r="B8">
        <v>1800</v>
      </c>
      <c r="C8">
        <v>3</v>
      </c>
      <c r="D8">
        <v>90</v>
      </c>
      <c r="E8">
        <v>32.400000000000006</v>
      </c>
      <c r="F8">
        <v>108</v>
      </c>
      <c r="G8">
        <v>74.16</v>
      </c>
      <c r="H8">
        <v>32.4</v>
      </c>
      <c r="I8">
        <v>1463.0399999999997</v>
      </c>
    </row>
    <row r="9" spans="1:9" x14ac:dyDescent="0.2">
      <c r="A9" t="s">
        <v>15</v>
      </c>
      <c r="B9">
        <v>2500</v>
      </c>
      <c r="C9">
        <v>5</v>
      </c>
      <c r="D9">
        <v>150</v>
      </c>
      <c r="E9">
        <v>45.000000000000007</v>
      </c>
      <c r="F9">
        <v>150</v>
      </c>
      <c r="G9">
        <v>125</v>
      </c>
      <c r="H9">
        <v>50</v>
      </c>
      <c r="I9">
        <v>1980</v>
      </c>
    </row>
    <row r="10" spans="1:9" x14ac:dyDescent="0.2">
      <c r="A10" t="s">
        <v>16</v>
      </c>
      <c r="B10">
        <v>45000</v>
      </c>
      <c r="C10">
        <v>1</v>
      </c>
      <c r="D10">
        <v>30</v>
      </c>
      <c r="E10">
        <v>810.00000000000011</v>
      </c>
      <c r="F10">
        <v>2700</v>
      </c>
      <c r="G10">
        <v>4950</v>
      </c>
      <c r="H10">
        <v>1800</v>
      </c>
      <c r="I10">
        <v>34710</v>
      </c>
    </row>
    <row r="11" spans="1:9" x14ac:dyDescent="0.2">
      <c r="A11" t="s">
        <v>17</v>
      </c>
      <c r="B11">
        <v>354</v>
      </c>
      <c r="C11">
        <v>1</v>
      </c>
      <c r="D11">
        <v>20</v>
      </c>
      <c r="E11">
        <v>0</v>
      </c>
      <c r="F11">
        <v>21.24</v>
      </c>
      <c r="G11">
        <v>5.31</v>
      </c>
      <c r="H11">
        <v>1.77</v>
      </c>
      <c r="I11">
        <v>305.68</v>
      </c>
    </row>
    <row r="12" spans="1:9" x14ac:dyDescent="0.2">
      <c r="A12" t="s">
        <v>18</v>
      </c>
      <c r="B12">
        <v>800</v>
      </c>
      <c r="C12">
        <v>5</v>
      </c>
      <c r="D12">
        <v>100</v>
      </c>
      <c r="E12">
        <v>0</v>
      </c>
      <c r="F12">
        <v>48</v>
      </c>
      <c r="G12">
        <v>20</v>
      </c>
      <c r="H12">
        <v>4.8</v>
      </c>
      <c r="I12">
        <v>627.20000000000005</v>
      </c>
    </row>
    <row r="13" spans="1:9" x14ac:dyDescent="0.2">
      <c r="A13" t="s">
        <v>19</v>
      </c>
      <c r="B13">
        <v>950</v>
      </c>
      <c r="C13">
        <v>4</v>
      </c>
      <c r="D13">
        <v>80</v>
      </c>
      <c r="E13">
        <v>0</v>
      </c>
      <c r="F13">
        <v>57</v>
      </c>
      <c r="G13">
        <v>28.5</v>
      </c>
      <c r="H13">
        <v>11.4</v>
      </c>
      <c r="I13">
        <v>773.1</v>
      </c>
    </row>
    <row r="14" spans="1:9" x14ac:dyDescent="0.2">
      <c r="A14" t="s">
        <v>20</v>
      </c>
      <c r="B14">
        <v>1800</v>
      </c>
      <c r="C14">
        <v>3</v>
      </c>
      <c r="D14">
        <v>90</v>
      </c>
      <c r="E14">
        <v>32.400000000000006</v>
      </c>
      <c r="F14">
        <v>108</v>
      </c>
      <c r="G14">
        <v>74.16</v>
      </c>
      <c r="H14">
        <v>32.4</v>
      </c>
      <c r="I14">
        <v>1463.0399999999997</v>
      </c>
    </row>
    <row r="15" spans="1:9" x14ac:dyDescent="0.2">
      <c r="A15" t="s">
        <v>21</v>
      </c>
      <c r="B15">
        <v>3500</v>
      </c>
      <c r="C15">
        <v>2</v>
      </c>
      <c r="D15">
        <v>60</v>
      </c>
      <c r="E15">
        <v>63.000000000000007</v>
      </c>
      <c r="F15">
        <v>210</v>
      </c>
      <c r="G15">
        <v>175</v>
      </c>
      <c r="H15">
        <v>70</v>
      </c>
      <c r="I15">
        <v>2922</v>
      </c>
    </row>
    <row r="16" spans="1:9" x14ac:dyDescent="0.2">
      <c r="A16" t="s">
        <v>22</v>
      </c>
      <c r="B16">
        <v>59868</v>
      </c>
      <c r="C16">
        <v>33</v>
      </c>
      <c r="D16">
        <v>800</v>
      </c>
      <c r="E16">
        <v>982.80000000000007</v>
      </c>
      <c r="F16">
        <v>3592.08</v>
      </c>
      <c r="G16">
        <v>5546.6948000000002</v>
      </c>
      <c r="H16">
        <v>2041.5420000000001</v>
      </c>
      <c r="I16">
        <v>46904.883199999997</v>
      </c>
    </row>
    <row r="17" spans="1:9" x14ac:dyDescent="0.2">
      <c r="A17" t="s">
        <v>23</v>
      </c>
      <c r="B17">
        <v>45000</v>
      </c>
      <c r="C17">
        <v>5</v>
      </c>
      <c r="D17">
        <v>150</v>
      </c>
      <c r="E17">
        <v>810.00000000000011</v>
      </c>
      <c r="F17">
        <v>2700</v>
      </c>
      <c r="G17">
        <v>4950</v>
      </c>
      <c r="H17">
        <v>1800</v>
      </c>
      <c r="I17">
        <v>34710</v>
      </c>
    </row>
    <row r="18" spans="1:9" x14ac:dyDescent="0.2">
      <c r="A18" t="s">
        <v>24</v>
      </c>
      <c r="B18">
        <v>354</v>
      </c>
      <c r="C18">
        <v>1</v>
      </c>
      <c r="D18">
        <v>20</v>
      </c>
      <c r="E18">
        <v>0</v>
      </c>
      <c r="F18">
        <v>21.24</v>
      </c>
      <c r="G18">
        <v>5.31</v>
      </c>
      <c r="H18">
        <v>1.77</v>
      </c>
      <c r="I18">
        <v>305.68</v>
      </c>
    </row>
    <row r="19" spans="1:9" x14ac:dyDescent="0.2">
      <c r="A19" t="s">
        <v>25</v>
      </c>
      <c r="B19">
        <v>4989</v>
      </c>
      <c r="C19">
        <v>2.75</v>
      </c>
      <c r="D19">
        <v>66.666666666666671</v>
      </c>
      <c r="E19">
        <v>81.900000000000006</v>
      </c>
      <c r="F19">
        <v>299.33999999999997</v>
      </c>
      <c r="G19">
        <v>462.2245666666667</v>
      </c>
      <c r="H19">
        <v>170.1285</v>
      </c>
      <c r="I19">
        <v>3908.7402666666662</v>
      </c>
    </row>
  </sheetData>
  <phoneticPr fontId="3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9" tint="-0.249977111117893"/>
  </sheetPr>
  <dimension ref="A1:I19"/>
  <sheetViews>
    <sheetView workbookViewId="0"/>
  </sheetViews>
  <sheetFormatPr defaultRowHeight="12.75" x14ac:dyDescent="0.2"/>
  <sheetData>
    <row r="1" spans="1:9" x14ac:dyDescent="0.2">
      <c r="A1" s="1" t="s">
        <v>2</v>
      </c>
      <c r="B1" s="1"/>
      <c r="C1" s="1"/>
      <c r="D1" s="1"/>
      <c r="E1" s="1"/>
      <c r="F1" s="1"/>
      <c r="G1" s="1"/>
      <c r="H1" s="1"/>
      <c r="I1" s="1"/>
    </row>
    <row r="3" spans="1:9" x14ac:dyDescent="0.2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0</v>
      </c>
      <c r="H3" t="s">
        <v>1</v>
      </c>
      <c r="I3" t="s">
        <v>9</v>
      </c>
    </row>
    <row r="4" spans="1:9" x14ac:dyDescent="0.2">
      <c r="A4" t="s">
        <v>10</v>
      </c>
      <c r="B4">
        <v>380</v>
      </c>
      <c r="C4">
        <v>2</v>
      </c>
      <c r="D4">
        <v>40</v>
      </c>
      <c r="E4">
        <v>0</v>
      </c>
      <c r="F4">
        <v>22.8</v>
      </c>
      <c r="G4">
        <v>5.7</v>
      </c>
      <c r="H4">
        <v>1.9000000000000001</v>
      </c>
      <c r="I4">
        <v>309.60000000000002</v>
      </c>
    </row>
    <row r="5" spans="1:9" x14ac:dyDescent="0.2">
      <c r="A5" t="s">
        <v>11</v>
      </c>
      <c r="B5">
        <v>580</v>
      </c>
      <c r="C5">
        <v>1</v>
      </c>
      <c r="D5">
        <v>20</v>
      </c>
      <c r="E5">
        <v>0</v>
      </c>
      <c r="F5">
        <v>34.799999999999997</v>
      </c>
      <c r="G5">
        <v>8.6999999999999993</v>
      </c>
      <c r="H5">
        <v>2.9</v>
      </c>
      <c r="I5">
        <v>513.6</v>
      </c>
    </row>
    <row r="6" spans="1:9" x14ac:dyDescent="0.2">
      <c r="A6" t="s">
        <v>12</v>
      </c>
      <c r="B6">
        <v>950</v>
      </c>
      <c r="C6">
        <v>4</v>
      </c>
      <c r="D6">
        <v>80</v>
      </c>
      <c r="E6">
        <v>0</v>
      </c>
      <c r="F6">
        <v>57</v>
      </c>
      <c r="G6">
        <v>28.5</v>
      </c>
      <c r="H6">
        <v>11.4</v>
      </c>
      <c r="I6">
        <v>773.1</v>
      </c>
    </row>
    <row r="7" spans="1:9" x14ac:dyDescent="0.2">
      <c r="A7" t="s">
        <v>13</v>
      </c>
      <c r="B7">
        <v>1254</v>
      </c>
      <c r="C7">
        <v>2</v>
      </c>
      <c r="D7">
        <v>40</v>
      </c>
      <c r="E7">
        <v>0</v>
      </c>
      <c r="F7">
        <v>75.239999999999995</v>
      </c>
      <c r="G7">
        <v>51.6648</v>
      </c>
      <c r="H7">
        <v>22.571999999999999</v>
      </c>
      <c r="I7">
        <v>1064.5232000000001</v>
      </c>
    </row>
    <row r="8" spans="1:9" x14ac:dyDescent="0.2">
      <c r="A8" t="s">
        <v>14</v>
      </c>
      <c r="B8">
        <v>1800</v>
      </c>
      <c r="C8">
        <v>3</v>
      </c>
      <c r="D8">
        <v>90</v>
      </c>
      <c r="E8">
        <v>32.400000000000006</v>
      </c>
      <c r="F8">
        <v>108</v>
      </c>
      <c r="G8">
        <v>74.16</v>
      </c>
      <c r="H8">
        <v>32.4</v>
      </c>
      <c r="I8">
        <v>1463.0399999999997</v>
      </c>
    </row>
    <row r="9" spans="1:9" x14ac:dyDescent="0.2">
      <c r="A9" t="s">
        <v>15</v>
      </c>
      <c r="B9">
        <v>2500</v>
      </c>
      <c r="C9">
        <v>5</v>
      </c>
      <c r="D9">
        <v>150</v>
      </c>
      <c r="E9">
        <v>45.000000000000007</v>
      </c>
      <c r="F9">
        <v>150</v>
      </c>
      <c r="G9">
        <v>125</v>
      </c>
      <c r="H9">
        <v>50</v>
      </c>
      <c r="I9">
        <v>1980</v>
      </c>
    </row>
    <row r="10" spans="1:9" x14ac:dyDescent="0.2">
      <c r="A10" t="s">
        <v>16</v>
      </c>
      <c r="B10">
        <v>45000</v>
      </c>
      <c r="C10">
        <v>1</v>
      </c>
      <c r="D10">
        <v>30</v>
      </c>
      <c r="E10">
        <v>810.00000000000011</v>
      </c>
      <c r="F10">
        <v>2700</v>
      </c>
      <c r="G10">
        <v>4950</v>
      </c>
      <c r="H10">
        <v>1800</v>
      </c>
      <c r="I10">
        <v>34710</v>
      </c>
    </row>
    <row r="11" spans="1:9" x14ac:dyDescent="0.2">
      <c r="A11" t="s">
        <v>17</v>
      </c>
      <c r="B11">
        <v>354</v>
      </c>
      <c r="C11">
        <v>1</v>
      </c>
      <c r="D11">
        <v>20</v>
      </c>
      <c r="E11">
        <v>0</v>
      </c>
      <c r="F11">
        <v>21.24</v>
      </c>
      <c r="G11">
        <v>5.31</v>
      </c>
      <c r="H11">
        <v>1.77</v>
      </c>
      <c r="I11">
        <v>305.68</v>
      </c>
    </row>
    <row r="12" spans="1:9" x14ac:dyDescent="0.2">
      <c r="A12" t="s">
        <v>18</v>
      </c>
      <c r="B12">
        <v>800</v>
      </c>
      <c r="C12">
        <v>5</v>
      </c>
      <c r="D12">
        <v>100</v>
      </c>
      <c r="E12">
        <v>0</v>
      </c>
      <c r="F12">
        <v>48</v>
      </c>
      <c r="G12">
        <v>20</v>
      </c>
      <c r="H12">
        <v>4.8</v>
      </c>
      <c r="I12">
        <v>627.20000000000005</v>
      </c>
    </row>
    <row r="13" spans="1:9" x14ac:dyDescent="0.2">
      <c r="A13" t="s">
        <v>19</v>
      </c>
      <c r="B13">
        <v>950</v>
      </c>
      <c r="C13">
        <v>4</v>
      </c>
      <c r="D13">
        <v>80</v>
      </c>
      <c r="E13">
        <v>0</v>
      </c>
      <c r="F13">
        <v>57</v>
      </c>
      <c r="G13">
        <v>28.5</v>
      </c>
      <c r="H13">
        <v>11.4</v>
      </c>
      <c r="I13">
        <v>773.1</v>
      </c>
    </row>
    <row r="14" spans="1:9" x14ac:dyDescent="0.2">
      <c r="A14" t="s">
        <v>20</v>
      </c>
      <c r="B14">
        <v>1800</v>
      </c>
      <c r="C14">
        <v>3</v>
      </c>
      <c r="D14">
        <v>90</v>
      </c>
      <c r="E14">
        <v>32.400000000000006</v>
      </c>
      <c r="F14">
        <v>108</v>
      </c>
      <c r="G14">
        <v>74.16</v>
      </c>
      <c r="H14">
        <v>32.4</v>
      </c>
      <c r="I14">
        <v>1463.0399999999997</v>
      </c>
    </row>
    <row r="15" spans="1:9" x14ac:dyDescent="0.2">
      <c r="A15" t="s">
        <v>21</v>
      </c>
      <c r="B15">
        <v>3500</v>
      </c>
      <c r="C15">
        <v>2</v>
      </c>
      <c r="D15">
        <v>60</v>
      </c>
      <c r="E15">
        <v>63.000000000000007</v>
      </c>
      <c r="F15">
        <v>210</v>
      </c>
      <c r="G15">
        <v>175</v>
      </c>
      <c r="H15">
        <v>70</v>
      </c>
      <c r="I15">
        <v>2922</v>
      </c>
    </row>
    <row r="16" spans="1:9" x14ac:dyDescent="0.2">
      <c r="A16" t="s">
        <v>22</v>
      </c>
      <c r="B16">
        <v>59868</v>
      </c>
      <c r="C16">
        <v>33</v>
      </c>
      <c r="D16">
        <v>800</v>
      </c>
      <c r="E16">
        <v>982.80000000000007</v>
      </c>
      <c r="F16">
        <v>3592.08</v>
      </c>
      <c r="G16">
        <v>5546.6948000000002</v>
      </c>
      <c r="H16">
        <v>2041.5420000000001</v>
      </c>
      <c r="I16">
        <v>46904.883199999997</v>
      </c>
    </row>
    <row r="17" spans="1:9" x14ac:dyDescent="0.2">
      <c r="A17" t="s">
        <v>23</v>
      </c>
      <c r="B17">
        <v>45000</v>
      </c>
      <c r="C17">
        <v>5</v>
      </c>
      <c r="D17">
        <v>150</v>
      </c>
      <c r="E17">
        <v>810.00000000000011</v>
      </c>
      <c r="F17">
        <v>2700</v>
      </c>
      <c r="G17">
        <v>4950</v>
      </c>
      <c r="H17">
        <v>1800</v>
      </c>
      <c r="I17">
        <v>34710</v>
      </c>
    </row>
    <row r="18" spans="1:9" x14ac:dyDescent="0.2">
      <c r="A18" t="s">
        <v>24</v>
      </c>
      <c r="B18">
        <v>354</v>
      </c>
      <c r="C18">
        <v>1</v>
      </c>
      <c r="D18">
        <v>20</v>
      </c>
      <c r="E18">
        <v>0</v>
      </c>
      <c r="F18">
        <v>21.24</v>
      </c>
      <c r="G18">
        <v>5.31</v>
      </c>
      <c r="H18">
        <v>1.77</v>
      </c>
      <c r="I18">
        <v>305.68</v>
      </c>
    </row>
    <row r="19" spans="1:9" x14ac:dyDescent="0.2">
      <c r="A19" t="s">
        <v>25</v>
      </c>
      <c r="B19">
        <v>4989</v>
      </c>
      <c r="C19">
        <v>2.75</v>
      </c>
      <c r="D19">
        <v>66.666666666666671</v>
      </c>
      <c r="E19">
        <v>81.900000000000006</v>
      </c>
      <c r="F19">
        <v>299.33999999999997</v>
      </c>
      <c r="G19">
        <v>462.2245666666667</v>
      </c>
      <c r="H19">
        <v>170.1285</v>
      </c>
      <c r="I19">
        <v>3908.7402666666662</v>
      </c>
    </row>
  </sheetData>
  <phoneticPr fontId="3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theme="9" tint="-0.249977111117893"/>
  </sheetPr>
  <dimension ref="A1:I19"/>
  <sheetViews>
    <sheetView workbookViewId="0"/>
  </sheetViews>
  <sheetFormatPr defaultRowHeight="12.75" x14ac:dyDescent="0.2"/>
  <sheetData>
    <row r="1" spans="1:9" x14ac:dyDescent="0.2">
      <c r="A1" s="1" t="s">
        <v>2</v>
      </c>
      <c r="B1" s="1"/>
      <c r="C1" s="1"/>
      <c r="D1" s="1"/>
      <c r="E1" s="1"/>
      <c r="F1" s="1"/>
      <c r="G1" s="1"/>
      <c r="H1" s="1"/>
      <c r="I1" s="1"/>
    </row>
    <row r="3" spans="1:9" x14ac:dyDescent="0.2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0</v>
      </c>
      <c r="H3" t="s">
        <v>1</v>
      </c>
      <c r="I3" t="s">
        <v>9</v>
      </c>
    </row>
    <row r="4" spans="1:9" x14ac:dyDescent="0.2">
      <c r="A4" t="s">
        <v>10</v>
      </c>
      <c r="B4">
        <v>380</v>
      </c>
      <c r="C4">
        <v>2</v>
      </c>
      <c r="D4">
        <v>40</v>
      </c>
      <c r="E4">
        <v>0</v>
      </c>
      <c r="F4">
        <v>22.8</v>
      </c>
      <c r="G4">
        <v>5.7</v>
      </c>
      <c r="H4">
        <v>1.9000000000000001</v>
      </c>
      <c r="I4">
        <v>309.60000000000002</v>
      </c>
    </row>
    <row r="5" spans="1:9" x14ac:dyDescent="0.2">
      <c r="A5" t="s">
        <v>11</v>
      </c>
      <c r="B5">
        <v>580</v>
      </c>
      <c r="C5">
        <v>1</v>
      </c>
      <c r="D5">
        <v>20</v>
      </c>
      <c r="E5">
        <v>0</v>
      </c>
      <c r="F5">
        <v>34.799999999999997</v>
      </c>
      <c r="G5">
        <v>8.6999999999999993</v>
      </c>
      <c r="H5">
        <v>2.9</v>
      </c>
      <c r="I5">
        <v>513.6</v>
      </c>
    </row>
    <row r="6" spans="1:9" x14ac:dyDescent="0.2">
      <c r="A6" t="s">
        <v>12</v>
      </c>
      <c r="B6">
        <v>950</v>
      </c>
      <c r="C6">
        <v>4</v>
      </c>
      <c r="D6">
        <v>80</v>
      </c>
      <c r="E6">
        <v>0</v>
      </c>
      <c r="F6">
        <v>57</v>
      </c>
      <c r="G6">
        <v>28.5</v>
      </c>
      <c r="H6">
        <v>11.4</v>
      </c>
      <c r="I6">
        <v>773.1</v>
      </c>
    </row>
    <row r="7" spans="1:9" x14ac:dyDescent="0.2">
      <c r="A7" t="s">
        <v>13</v>
      </c>
      <c r="B7">
        <v>1254</v>
      </c>
      <c r="C7">
        <v>2</v>
      </c>
      <c r="D7">
        <v>40</v>
      </c>
      <c r="E7">
        <v>0</v>
      </c>
      <c r="F7">
        <v>75.239999999999995</v>
      </c>
      <c r="G7">
        <v>51.6648</v>
      </c>
      <c r="H7">
        <v>22.571999999999999</v>
      </c>
      <c r="I7">
        <v>1064.5232000000001</v>
      </c>
    </row>
    <row r="8" spans="1:9" x14ac:dyDescent="0.2">
      <c r="A8" t="s">
        <v>14</v>
      </c>
      <c r="B8">
        <v>1800</v>
      </c>
      <c r="C8">
        <v>3</v>
      </c>
      <c r="D8">
        <v>90</v>
      </c>
      <c r="E8">
        <v>32.400000000000006</v>
      </c>
      <c r="F8">
        <v>108</v>
      </c>
      <c r="G8">
        <v>74.16</v>
      </c>
      <c r="H8">
        <v>32.4</v>
      </c>
      <c r="I8">
        <v>1463.0399999999997</v>
      </c>
    </row>
    <row r="9" spans="1:9" x14ac:dyDescent="0.2">
      <c r="A9" t="s">
        <v>15</v>
      </c>
      <c r="B9">
        <v>2500</v>
      </c>
      <c r="C9">
        <v>5</v>
      </c>
      <c r="D9">
        <v>150</v>
      </c>
      <c r="E9">
        <v>45.000000000000007</v>
      </c>
      <c r="F9">
        <v>150</v>
      </c>
      <c r="G9">
        <v>125</v>
      </c>
      <c r="H9">
        <v>50</v>
      </c>
      <c r="I9">
        <v>1980</v>
      </c>
    </row>
    <row r="10" spans="1:9" x14ac:dyDescent="0.2">
      <c r="A10" t="s">
        <v>16</v>
      </c>
      <c r="B10">
        <v>45000</v>
      </c>
      <c r="C10">
        <v>1</v>
      </c>
      <c r="D10">
        <v>30</v>
      </c>
      <c r="E10">
        <v>810.00000000000011</v>
      </c>
      <c r="F10">
        <v>2700</v>
      </c>
      <c r="G10">
        <v>4950</v>
      </c>
      <c r="H10">
        <v>1800</v>
      </c>
      <c r="I10">
        <v>34710</v>
      </c>
    </row>
    <row r="11" spans="1:9" x14ac:dyDescent="0.2">
      <c r="A11" t="s">
        <v>17</v>
      </c>
      <c r="B11">
        <v>354</v>
      </c>
      <c r="C11">
        <v>1</v>
      </c>
      <c r="D11">
        <v>20</v>
      </c>
      <c r="E11">
        <v>0</v>
      </c>
      <c r="F11">
        <v>21.24</v>
      </c>
      <c r="G11">
        <v>5.31</v>
      </c>
      <c r="H11">
        <v>1.77</v>
      </c>
      <c r="I11">
        <v>305.68</v>
      </c>
    </row>
    <row r="12" spans="1:9" x14ac:dyDescent="0.2">
      <c r="A12" t="s">
        <v>18</v>
      </c>
      <c r="B12">
        <v>800</v>
      </c>
      <c r="C12">
        <v>5</v>
      </c>
      <c r="D12">
        <v>100</v>
      </c>
      <c r="E12">
        <v>0</v>
      </c>
      <c r="F12">
        <v>48</v>
      </c>
      <c r="G12">
        <v>20</v>
      </c>
      <c r="H12">
        <v>4.8</v>
      </c>
      <c r="I12">
        <v>627.20000000000005</v>
      </c>
    </row>
    <row r="13" spans="1:9" x14ac:dyDescent="0.2">
      <c r="A13" t="s">
        <v>19</v>
      </c>
      <c r="B13">
        <v>950</v>
      </c>
      <c r="C13">
        <v>4</v>
      </c>
      <c r="D13">
        <v>80</v>
      </c>
      <c r="E13">
        <v>0</v>
      </c>
      <c r="F13">
        <v>57</v>
      </c>
      <c r="G13">
        <v>28.5</v>
      </c>
      <c r="H13">
        <v>11.4</v>
      </c>
      <c r="I13">
        <v>773.1</v>
      </c>
    </row>
    <row r="14" spans="1:9" x14ac:dyDescent="0.2">
      <c r="A14" t="s">
        <v>20</v>
      </c>
      <c r="B14">
        <v>1800</v>
      </c>
      <c r="C14">
        <v>3</v>
      </c>
      <c r="D14">
        <v>90</v>
      </c>
      <c r="E14">
        <v>32.400000000000006</v>
      </c>
      <c r="F14">
        <v>108</v>
      </c>
      <c r="G14">
        <v>74.16</v>
      </c>
      <c r="H14">
        <v>32.4</v>
      </c>
      <c r="I14">
        <v>1463.0399999999997</v>
      </c>
    </row>
    <row r="15" spans="1:9" x14ac:dyDescent="0.2">
      <c r="A15" t="s">
        <v>21</v>
      </c>
      <c r="B15">
        <v>3500</v>
      </c>
      <c r="C15">
        <v>2</v>
      </c>
      <c r="D15">
        <v>60</v>
      </c>
      <c r="E15">
        <v>63.000000000000007</v>
      </c>
      <c r="F15">
        <v>210</v>
      </c>
      <c r="G15">
        <v>175</v>
      </c>
      <c r="H15">
        <v>70</v>
      </c>
      <c r="I15">
        <v>2922</v>
      </c>
    </row>
    <row r="16" spans="1:9" x14ac:dyDescent="0.2">
      <c r="A16" t="s">
        <v>22</v>
      </c>
      <c r="B16">
        <v>59868</v>
      </c>
      <c r="C16">
        <v>33</v>
      </c>
      <c r="D16">
        <v>800</v>
      </c>
      <c r="E16">
        <v>982.80000000000007</v>
      </c>
      <c r="F16">
        <v>3592.08</v>
      </c>
      <c r="G16">
        <v>5546.6948000000002</v>
      </c>
      <c r="H16">
        <v>2041.5420000000001</v>
      </c>
      <c r="I16">
        <v>46904.883199999997</v>
      </c>
    </row>
    <row r="17" spans="1:9" x14ac:dyDescent="0.2">
      <c r="A17" t="s">
        <v>23</v>
      </c>
      <c r="B17">
        <v>45000</v>
      </c>
      <c r="C17">
        <v>5</v>
      </c>
      <c r="D17">
        <v>150</v>
      </c>
      <c r="E17">
        <v>810.00000000000011</v>
      </c>
      <c r="F17">
        <v>2700</v>
      </c>
      <c r="G17">
        <v>4950</v>
      </c>
      <c r="H17">
        <v>1800</v>
      </c>
      <c r="I17">
        <v>34710</v>
      </c>
    </row>
    <row r="18" spans="1:9" x14ac:dyDescent="0.2">
      <c r="A18" t="s">
        <v>24</v>
      </c>
      <c r="B18">
        <v>354</v>
      </c>
      <c r="C18">
        <v>1</v>
      </c>
      <c r="D18">
        <v>20</v>
      </c>
      <c r="E18">
        <v>0</v>
      </c>
      <c r="F18">
        <v>21.24</v>
      </c>
      <c r="G18">
        <v>5.31</v>
      </c>
      <c r="H18">
        <v>1.77</v>
      </c>
      <c r="I18">
        <v>305.68</v>
      </c>
    </row>
    <row r="19" spans="1:9" x14ac:dyDescent="0.2">
      <c r="A19" t="s">
        <v>25</v>
      </c>
      <c r="B19">
        <v>4989</v>
      </c>
      <c r="C19">
        <v>2.75</v>
      </c>
      <c r="D19">
        <v>66.666666666666671</v>
      </c>
      <c r="E19">
        <v>81.900000000000006</v>
      </c>
      <c r="F19">
        <v>299.33999999999997</v>
      </c>
      <c r="G19">
        <v>462.2245666666667</v>
      </c>
      <c r="H19">
        <v>170.1285</v>
      </c>
      <c r="I19">
        <v>3908.7402666666662</v>
      </c>
    </row>
  </sheetData>
  <phoneticPr fontId="3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9" tint="-0.249977111117893"/>
  </sheetPr>
  <dimension ref="A1:I19"/>
  <sheetViews>
    <sheetView workbookViewId="0">
      <selection activeCell="C30" sqref="C30"/>
    </sheetView>
  </sheetViews>
  <sheetFormatPr defaultRowHeight="12.75" x14ac:dyDescent="0.2"/>
  <sheetData>
    <row r="1" spans="1:9" x14ac:dyDescent="0.2">
      <c r="A1" s="1" t="s">
        <v>2</v>
      </c>
      <c r="B1" s="1"/>
      <c r="C1" s="1"/>
      <c r="D1" s="1"/>
      <c r="E1" s="1"/>
      <c r="F1" s="1"/>
      <c r="G1" s="1"/>
      <c r="H1" s="1"/>
      <c r="I1" s="1"/>
    </row>
    <row r="3" spans="1:9" x14ac:dyDescent="0.2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0</v>
      </c>
      <c r="H3" t="s">
        <v>1</v>
      </c>
      <c r="I3" t="s">
        <v>9</v>
      </c>
    </row>
    <row r="4" spans="1:9" x14ac:dyDescent="0.2">
      <c r="A4" t="s">
        <v>10</v>
      </c>
      <c r="B4">
        <v>380</v>
      </c>
      <c r="C4">
        <v>2</v>
      </c>
      <c r="D4">
        <v>40</v>
      </c>
      <c r="E4">
        <v>0</v>
      </c>
      <c r="F4">
        <v>22.8</v>
      </c>
      <c r="G4">
        <v>5.7</v>
      </c>
      <c r="H4">
        <v>1.9000000000000001</v>
      </c>
      <c r="I4">
        <v>309.60000000000002</v>
      </c>
    </row>
    <row r="5" spans="1:9" x14ac:dyDescent="0.2">
      <c r="A5" t="s">
        <v>11</v>
      </c>
      <c r="B5">
        <v>580</v>
      </c>
      <c r="C5">
        <v>1</v>
      </c>
      <c r="D5">
        <v>20</v>
      </c>
      <c r="E5">
        <v>0</v>
      </c>
      <c r="F5">
        <v>34.799999999999997</v>
      </c>
      <c r="G5">
        <v>8.6999999999999993</v>
      </c>
      <c r="H5">
        <v>2.9</v>
      </c>
      <c r="I5">
        <v>513.6</v>
      </c>
    </row>
    <row r="6" spans="1:9" x14ac:dyDescent="0.2">
      <c r="A6" t="s">
        <v>12</v>
      </c>
      <c r="B6">
        <v>950</v>
      </c>
      <c r="C6">
        <v>4</v>
      </c>
      <c r="D6">
        <v>80</v>
      </c>
      <c r="E6">
        <v>0</v>
      </c>
      <c r="F6">
        <v>57</v>
      </c>
      <c r="G6">
        <v>28.5</v>
      </c>
      <c r="H6">
        <v>11.4</v>
      </c>
      <c r="I6">
        <v>773.1</v>
      </c>
    </row>
    <row r="7" spans="1:9" x14ac:dyDescent="0.2">
      <c r="A7" t="s">
        <v>13</v>
      </c>
      <c r="B7">
        <v>1254</v>
      </c>
      <c r="C7">
        <v>2</v>
      </c>
      <c r="D7">
        <v>40</v>
      </c>
      <c r="E7">
        <v>0</v>
      </c>
      <c r="F7">
        <v>75.239999999999995</v>
      </c>
      <c r="G7">
        <v>51.6648</v>
      </c>
      <c r="H7">
        <v>22.571999999999999</v>
      </c>
      <c r="I7">
        <v>1064.5232000000001</v>
      </c>
    </row>
    <row r="8" spans="1:9" x14ac:dyDescent="0.2">
      <c r="A8" t="s">
        <v>14</v>
      </c>
      <c r="B8">
        <v>1800</v>
      </c>
      <c r="C8">
        <v>3</v>
      </c>
      <c r="D8">
        <v>90</v>
      </c>
      <c r="E8">
        <v>32.400000000000006</v>
      </c>
      <c r="F8">
        <v>108</v>
      </c>
      <c r="G8">
        <v>74.16</v>
      </c>
      <c r="H8">
        <v>32.4</v>
      </c>
      <c r="I8">
        <v>1463.0399999999997</v>
      </c>
    </row>
    <row r="9" spans="1:9" x14ac:dyDescent="0.2">
      <c r="A9" t="s">
        <v>15</v>
      </c>
      <c r="B9">
        <v>2500</v>
      </c>
      <c r="C9">
        <v>5</v>
      </c>
      <c r="D9">
        <v>150</v>
      </c>
      <c r="E9">
        <v>45.000000000000007</v>
      </c>
      <c r="F9">
        <v>150</v>
      </c>
      <c r="G9">
        <v>125</v>
      </c>
      <c r="H9">
        <v>50</v>
      </c>
      <c r="I9">
        <v>1980</v>
      </c>
    </row>
    <row r="10" spans="1:9" x14ac:dyDescent="0.2">
      <c r="A10" t="s">
        <v>16</v>
      </c>
      <c r="B10">
        <v>45000</v>
      </c>
      <c r="C10">
        <v>1</v>
      </c>
      <c r="D10">
        <v>30</v>
      </c>
      <c r="E10">
        <v>810.00000000000011</v>
      </c>
      <c r="F10">
        <v>2700</v>
      </c>
      <c r="G10">
        <v>4950</v>
      </c>
      <c r="H10">
        <v>1800</v>
      </c>
      <c r="I10">
        <v>34710</v>
      </c>
    </row>
    <row r="11" spans="1:9" x14ac:dyDescent="0.2">
      <c r="A11" t="s">
        <v>17</v>
      </c>
      <c r="B11">
        <v>354</v>
      </c>
      <c r="C11">
        <v>1</v>
      </c>
      <c r="D11">
        <v>20</v>
      </c>
      <c r="E11">
        <v>0</v>
      </c>
      <c r="F11">
        <v>21.24</v>
      </c>
      <c r="G11">
        <v>5.31</v>
      </c>
      <c r="H11">
        <v>1.77</v>
      </c>
      <c r="I11">
        <v>305.68</v>
      </c>
    </row>
    <row r="12" spans="1:9" x14ac:dyDescent="0.2">
      <c r="A12" t="s">
        <v>18</v>
      </c>
      <c r="B12">
        <v>800</v>
      </c>
      <c r="C12">
        <v>5</v>
      </c>
      <c r="D12">
        <v>100</v>
      </c>
      <c r="E12">
        <v>0</v>
      </c>
      <c r="F12">
        <v>48</v>
      </c>
      <c r="G12">
        <v>20</v>
      </c>
      <c r="H12">
        <v>4.8</v>
      </c>
      <c r="I12">
        <v>627.20000000000005</v>
      </c>
    </row>
    <row r="13" spans="1:9" x14ac:dyDescent="0.2">
      <c r="A13" t="s">
        <v>19</v>
      </c>
      <c r="B13">
        <v>950</v>
      </c>
      <c r="C13">
        <v>4</v>
      </c>
      <c r="D13">
        <v>80</v>
      </c>
      <c r="E13">
        <v>0</v>
      </c>
      <c r="F13">
        <v>57</v>
      </c>
      <c r="G13">
        <v>28.5</v>
      </c>
      <c r="H13">
        <v>11.4</v>
      </c>
      <c r="I13">
        <v>773.1</v>
      </c>
    </row>
    <row r="14" spans="1:9" x14ac:dyDescent="0.2">
      <c r="A14" t="s">
        <v>20</v>
      </c>
      <c r="B14">
        <v>1800</v>
      </c>
      <c r="C14">
        <v>3</v>
      </c>
      <c r="D14">
        <v>90</v>
      </c>
      <c r="E14">
        <v>32.400000000000006</v>
      </c>
      <c r="F14">
        <v>108</v>
      </c>
      <c r="G14">
        <v>74.16</v>
      </c>
      <c r="H14">
        <v>32.4</v>
      </c>
      <c r="I14">
        <v>1463.0399999999997</v>
      </c>
    </row>
    <row r="15" spans="1:9" x14ac:dyDescent="0.2">
      <c r="A15" t="s">
        <v>21</v>
      </c>
      <c r="B15">
        <v>3500</v>
      </c>
      <c r="C15">
        <v>2</v>
      </c>
      <c r="D15">
        <v>60</v>
      </c>
      <c r="E15">
        <v>63.000000000000007</v>
      </c>
      <c r="F15">
        <v>210</v>
      </c>
      <c r="G15">
        <v>175</v>
      </c>
      <c r="H15">
        <v>70</v>
      </c>
      <c r="I15">
        <v>2922</v>
      </c>
    </row>
    <row r="16" spans="1:9" x14ac:dyDescent="0.2">
      <c r="A16" t="s">
        <v>22</v>
      </c>
      <c r="B16">
        <v>59868</v>
      </c>
      <c r="C16">
        <v>33</v>
      </c>
      <c r="D16">
        <v>800</v>
      </c>
      <c r="E16">
        <v>982.80000000000007</v>
      </c>
      <c r="F16">
        <v>3592.08</v>
      </c>
      <c r="G16">
        <v>5546.6948000000002</v>
      </c>
      <c r="H16">
        <v>2041.5420000000001</v>
      </c>
      <c r="I16">
        <v>46904.883199999997</v>
      </c>
    </row>
    <row r="17" spans="1:9" x14ac:dyDescent="0.2">
      <c r="A17" t="s">
        <v>23</v>
      </c>
      <c r="B17">
        <v>45000</v>
      </c>
      <c r="C17">
        <v>5</v>
      </c>
      <c r="D17">
        <v>150</v>
      </c>
      <c r="E17">
        <v>810.00000000000011</v>
      </c>
      <c r="F17">
        <v>2700</v>
      </c>
      <c r="G17">
        <v>4950</v>
      </c>
      <c r="H17">
        <v>1800</v>
      </c>
      <c r="I17">
        <v>34710</v>
      </c>
    </row>
    <row r="18" spans="1:9" x14ac:dyDescent="0.2">
      <c r="A18" t="s">
        <v>24</v>
      </c>
      <c r="B18">
        <v>354</v>
      </c>
      <c r="C18">
        <v>1</v>
      </c>
      <c r="D18">
        <v>20</v>
      </c>
      <c r="E18">
        <v>0</v>
      </c>
      <c r="F18">
        <v>21.24</v>
      </c>
      <c r="G18">
        <v>5.31</v>
      </c>
      <c r="H18">
        <v>1.77</v>
      </c>
      <c r="I18">
        <v>305.68</v>
      </c>
    </row>
    <row r="19" spans="1:9" x14ac:dyDescent="0.2">
      <c r="A19" t="s">
        <v>25</v>
      </c>
      <c r="B19">
        <v>4989</v>
      </c>
      <c r="C19">
        <v>2.75</v>
      </c>
      <c r="D19">
        <v>66.666666666666671</v>
      </c>
      <c r="E19">
        <v>81.900000000000006</v>
      </c>
      <c r="F19">
        <v>299.33999999999997</v>
      </c>
      <c r="G19">
        <v>462.2245666666667</v>
      </c>
      <c r="H19">
        <v>170.1285</v>
      </c>
      <c r="I19">
        <v>3908.7402666666662</v>
      </c>
    </row>
  </sheetData>
  <phoneticPr fontId="3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9" tint="-0.249977111117893"/>
  </sheetPr>
  <dimension ref="A1:I19"/>
  <sheetViews>
    <sheetView workbookViewId="0"/>
  </sheetViews>
  <sheetFormatPr defaultRowHeight="12.75" x14ac:dyDescent="0.2"/>
  <sheetData>
    <row r="1" spans="1:9" x14ac:dyDescent="0.2">
      <c r="A1" s="1" t="s">
        <v>2</v>
      </c>
      <c r="B1" s="1"/>
      <c r="C1" s="1"/>
      <c r="D1" s="1"/>
      <c r="E1" s="1"/>
      <c r="F1" s="1"/>
      <c r="G1" s="1"/>
      <c r="H1" s="1"/>
      <c r="I1" s="1"/>
    </row>
    <row r="3" spans="1:9" x14ac:dyDescent="0.2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0</v>
      </c>
      <c r="H3" t="s">
        <v>1</v>
      </c>
      <c r="I3" t="s">
        <v>9</v>
      </c>
    </row>
    <row r="4" spans="1:9" x14ac:dyDescent="0.2">
      <c r="A4" t="s">
        <v>10</v>
      </c>
      <c r="B4">
        <v>380</v>
      </c>
      <c r="C4">
        <v>2</v>
      </c>
      <c r="D4">
        <v>40</v>
      </c>
      <c r="E4">
        <v>0</v>
      </c>
      <c r="F4">
        <v>22.8</v>
      </c>
      <c r="G4">
        <v>5.7</v>
      </c>
      <c r="H4">
        <v>1.9000000000000001</v>
      </c>
      <c r="I4">
        <v>309.60000000000002</v>
      </c>
    </row>
    <row r="5" spans="1:9" x14ac:dyDescent="0.2">
      <c r="A5" t="s">
        <v>11</v>
      </c>
      <c r="B5">
        <v>580</v>
      </c>
      <c r="C5">
        <v>1</v>
      </c>
      <c r="D5">
        <v>20</v>
      </c>
      <c r="E5">
        <v>0</v>
      </c>
      <c r="F5">
        <v>34.799999999999997</v>
      </c>
      <c r="G5">
        <v>8.6999999999999993</v>
      </c>
      <c r="H5">
        <v>2.9</v>
      </c>
      <c r="I5">
        <v>513.6</v>
      </c>
    </row>
    <row r="6" spans="1:9" x14ac:dyDescent="0.2">
      <c r="A6" t="s">
        <v>12</v>
      </c>
      <c r="B6">
        <v>950</v>
      </c>
      <c r="C6">
        <v>4</v>
      </c>
      <c r="D6">
        <v>80</v>
      </c>
      <c r="E6">
        <v>0</v>
      </c>
      <c r="F6">
        <v>57</v>
      </c>
      <c r="G6">
        <v>28.5</v>
      </c>
      <c r="H6">
        <v>11.4</v>
      </c>
      <c r="I6">
        <v>773.1</v>
      </c>
    </row>
    <row r="7" spans="1:9" x14ac:dyDescent="0.2">
      <c r="A7" t="s">
        <v>13</v>
      </c>
      <c r="B7">
        <v>1254</v>
      </c>
      <c r="C7">
        <v>2</v>
      </c>
      <c r="D7">
        <v>40</v>
      </c>
      <c r="E7">
        <v>0</v>
      </c>
      <c r="F7">
        <v>75.239999999999995</v>
      </c>
      <c r="G7">
        <v>51.6648</v>
      </c>
      <c r="H7">
        <v>22.571999999999999</v>
      </c>
      <c r="I7">
        <v>1064.5232000000001</v>
      </c>
    </row>
    <row r="8" spans="1:9" x14ac:dyDescent="0.2">
      <c r="A8" t="s">
        <v>14</v>
      </c>
      <c r="B8">
        <v>1800</v>
      </c>
      <c r="C8">
        <v>3</v>
      </c>
      <c r="D8">
        <v>90</v>
      </c>
      <c r="E8">
        <v>32.400000000000006</v>
      </c>
      <c r="F8">
        <v>108</v>
      </c>
      <c r="G8">
        <v>74.16</v>
      </c>
      <c r="H8">
        <v>32.4</v>
      </c>
      <c r="I8">
        <v>1463.0399999999997</v>
      </c>
    </row>
    <row r="9" spans="1:9" x14ac:dyDescent="0.2">
      <c r="A9" t="s">
        <v>15</v>
      </c>
      <c r="B9">
        <v>2500</v>
      </c>
      <c r="C9">
        <v>5</v>
      </c>
      <c r="D9">
        <v>150</v>
      </c>
      <c r="E9">
        <v>45.000000000000007</v>
      </c>
      <c r="F9">
        <v>150</v>
      </c>
      <c r="G9">
        <v>125</v>
      </c>
      <c r="H9">
        <v>50</v>
      </c>
      <c r="I9">
        <v>1980</v>
      </c>
    </row>
    <row r="10" spans="1:9" x14ac:dyDescent="0.2">
      <c r="A10" t="s">
        <v>16</v>
      </c>
      <c r="B10">
        <v>45000</v>
      </c>
      <c r="C10">
        <v>1</v>
      </c>
      <c r="D10">
        <v>30</v>
      </c>
      <c r="E10">
        <v>810.00000000000011</v>
      </c>
      <c r="F10">
        <v>2700</v>
      </c>
      <c r="G10">
        <v>4950</v>
      </c>
      <c r="H10">
        <v>1800</v>
      </c>
      <c r="I10">
        <v>34710</v>
      </c>
    </row>
    <row r="11" spans="1:9" x14ac:dyDescent="0.2">
      <c r="A11" t="s">
        <v>17</v>
      </c>
      <c r="B11">
        <v>354</v>
      </c>
      <c r="C11">
        <v>1</v>
      </c>
      <c r="D11">
        <v>20</v>
      </c>
      <c r="E11">
        <v>0</v>
      </c>
      <c r="F11">
        <v>21.24</v>
      </c>
      <c r="G11">
        <v>5.31</v>
      </c>
      <c r="H11">
        <v>1.77</v>
      </c>
      <c r="I11">
        <v>305.68</v>
      </c>
    </row>
    <row r="12" spans="1:9" x14ac:dyDescent="0.2">
      <c r="A12" t="s">
        <v>18</v>
      </c>
      <c r="B12">
        <v>800</v>
      </c>
      <c r="C12">
        <v>5</v>
      </c>
      <c r="D12">
        <v>100</v>
      </c>
      <c r="E12">
        <v>0</v>
      </c>
      <c r="F12">
        <v>48</v>
      </c>
      <c r="G12">
        <v>20</v>
      </c>
      <c r="H12">
        <v>4.8</v>
      </c>
      <c r="I12">
        <v>627.20000000000005</v>
      </c>
    </row>
    <row r="13" spans="1:9" x14ac:dyDescent="0.2">
      <c r="A13" t="s">
        <v>19</v>
      </c>
      <c r="B13">
        <v>950</v>
      </c>
      <c r="C13">
        <v>4</v>
      </c>
      <c r="D13">
        <v>80</v>
      </c>
      <c r="E13">
        <v>0</v>
      </c>
      <c r="F13">
        <v>57</v>
      </c>
      <c r="G13">
        <v>28.5</v>
      </c>
      <c r="H13">
        <v>11.4</v>
      </c>
      <c r="I13">
        <v>773.1</v>
      </c>
    </row>
    <row r="14" spans="1:9" x14ac:dyDescent="0.2">
      <c r="A14" t="s">
        <v>20</v>
      </c>
      <c r="B14">
        <v>1800</v>
      </c>
      <c r="C14">
        <v>3</v>
      </c>
      <c r="D14">
        <v>90</v>
      </c>
      <c r="E14">
        <v>32.400000000000006</v>
      </c>
      <c r="F14">
        <v>108</v>
      </c>
      <c r="G14">
        <v>74.16</v>
      </c>
      <c r="H14">
        <v>32.4</v>
      </c>
      <c r="I14">
        <v>1463.0399999999997</v>
      </c>
    </row>
    <row r="15" spans="1:9" x14ac:dyDescent="0.2">
      <c r="A15" t="s">
        <v>21</v>
      </c>
      <c r="B15">
        <v>3500</v>
      </c>
      <c r="C15">
        <v>2</v>
      </c>
      <c r="D15">
        <v>60</v>
      </c>
      <c r="E15">
        <v>63.000000000000007</v>
      </c>
      <c r="F15">
        <v>210</v>
      </c>
      <c r="G15">
        <v>175</v>
      </c>
      <c r="H15">
        <v>70</v>
      </c>
      <c r="I15">
        <v>2922</v>
      </c>
    </row>
    <row r="16" spans="1:9" x14ac:dyDescent="0.2">
      <c r="A16" t="s">
        <v>22</v>
      </c>
      <c r="B16">
        <v>59868</v>
      </c>
      <c r="C16">
        <v>33</v>
      </c>
      <c r="D16">
        <v>800</v>
      </c>
      <c r="E16">
        <v>982.80000000000007</v>
      </c>
      <c r="F16">
        <v>3592.08</v>
      </c>
      <c r="G16">
        <v>5546.6948000000002</v>
      </c>
      <c r="H16">
        <v>2041.5420000000001</v>
      </c>
      <c r="I16">
        <v>46904.883199999997</v>
      </c>
    </row>
    <row r="17" spans="1:9" x14ac:dyDescent="0.2">
      <c r="A17" t="s">
        <v>23</v>
      </c>
      <c r="B17">
        <v>45000</v>
      </c>
      <c r="C17">
        <v>5</v>
      </c>
      <c r="D17">
        <v>150</v>
      </c>
      <c r="E17">
        <v>810.00000000000011</v>
      </c>
      <c r="F17">
        <v>2700</v>
      </c>
      <c r="G17">
        <v>4950</v>
      </c>
      <c r="H17">
        <v>1800</v>
      </c>
      <c r="I17">
        <v>34710</v>
      </c>
    </row>
    <row r="18" spans="1:9" x14ac:dyDescent="0.2">
      <c r="A18" t="s">
        <v>24</v>
      </c>
      <c r="B18">
        <v>354</v>
      </c>
      <c r="C18">
        <v>1</v>
      </c>
      <c r="D18">
        <v>20</v>
      </c>
      <c r="E18">
        <v>0</v>
      </c>
      <c r="F18">
        <v>21.24</v>
      </c>
      <c r="G18">
        <v>5.31</v>
      </c>
      <c r="H18">
        <v>1.77</v>
      </c>
      <c r="I18">
        <v>305.68</v>
      </c>
    </row>
    <row r="19" spans="1:9" x14ac:dyDescent="0.2">
      <c r="A19" t="s">
        <v>25</v>
      </c>
      <c r="B19">
        <v>4989</v>
      </c>
      <c r="C19">
        <v>2.75</v>
      </c>
      <c r="D19">
        <v>66.666666666666671</v>
      </c>
      <c r="E19">
        <v>81.900000000000006</v>
      </c>
      <c r="F19">
        <v>299.33999999999997</v>
      </c>
      <c r="G19">
        <v>462.2245666666667</v>
      </c>
      <c r="H19">
        <v>170.1285</v>
      </c>
      <c r="I19">
        <v>3908.7402666666662</v>
      </c>
    </row>
  </sheetData>
  <phoneticPr fontId="3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theme="9" tint="-0.249977111117893"/>
  </sheetPr>
  <dimension ref="A1:I19"/>
  <sheetViews>
    <sheetView workbookViewId="0">
      <selection activeCell="A3" sqref="A3"/>
    </sheetView>
  </sheetViews>
  <sheetFormatPr defaultRowHeight="12.75" x14ac:dyDescent="0.2"/>
  <cols>
    <col min="1" max="1" width="18.42578125" bestFit="1" customWidth="1"/>
    <col min="2" max="2" width="7.5703125" bestFit="1" customWidth="1"/>
    <col min="3" max="3" width="8.42578125" bestFit="1" customWidth="1"/>
    <col min="4" max="4" width="12" bestFit="1" customWidth="1"/>
    <col min="5" max="5" width="8.42578125" bestFit="1" customWidth="1"/>
    <col min="6" max="6" width="9" bestFit="1" customWidth="1"/>
    <col min="7" max="7" width="12" bestFit="1" customWidth="1"/>
    <col min="8" max="8" width="9" bestFit="1" customWidth="1"/>
    <col min="9" max="9" width="12" bestFit="1" customWidth="1"/>
  </cols>
  <sheetData>
    <row r="1" spans="1:9" x14ac:dyDescent="0.2">
      <c r="A1" s="1" t="s">
        <v>2</v>
      </c>
      <c r="B1" s="1"/>
      <c r="C1" s="1"/>
      <c r="D1" s="1"/>
      <c r="E1" s="1"/>
      <c r="F1" s="1"/>
      <c r="G1" s="1"/>
      <c r="H1" s="1"/>
      <c r="I1" s="1"/>
    </row>
    <row r="3" spans="1:9" ht="38.25" x14ac:dyDescent="0.2">
      <c r="A3" s="34" t="s">
        <v>3</v>
      </c>
      <c r="B3" s="34" t="s">
        <v>4</v>
      </c>
      <c r="C3" s="34" t="s">
        <v>5</v>
      </c>
      <c r="D3" s="34" t="s">
        <v>6</v>
      </c>
      <c r="E3" s="34" t="s">
        <v>7</v>
      </c>
      <c r="F3" s="34" t="s">
        <v>8</v>
      </c>
      <c r="G3" s="34" t="s">
        <v>0</v>
      </c>
      <c r="H3" s="34" t="s">
        <v>1</v>
      </c>
      <c r="I3" s="34" t="s">
        <v>9</v>
      </c>
    </row>
    <row r="4" spans="1:9" x14ac:dyDescent="0.2">
      <c r="A4" s="24" t="s">
        <v>10</v>
      </c>
      <c r="B4" s="24">
        <v>380</v>
      </c>
      <c r="C4" s="24">
        <v>2</v>
      </c>
      <c r="D4" s="24">
        <v>40</v>
      </c>
      <c r="E4" s="24">
        <v>0</v>
      </c>
      <c r="F4" s="24">
        <v>22.8</v>
      </c>
      <c r="G4" s="24">
        <v>5.7</v>
      </c>
      <c r="H4" s="24">
        <v>1.9000000000000001</v>
      </c>
      <c r="I4" s="24">
        <v>309.60000000000002</v>
      </c>
    </row>
    <row r="5" spans="1:9" x14ac:dyDescent="0.2">
      <c r="A5" s="24" t="s">
        <v>11</v>
      </c>
      <c r="B5" s="24">
        <v>580</v>
      </c>
      <c r="C5" s="24">
        <v>1</v>
      </c>
      <c r="D5" s="24">
        <v>20</v>
      </c>
      <c r="E5" s="24">
        <v>0</v>
      </c>
      <c r="F5" s="24">
        <v>34.799999999999997</v>
      </c>
      <c r="G5" s="24">
        <v>8.6999999999999993</v>
      </c>
      <c r="H5" s="24">
        <v>2.9</v>
      </c>
      <c r="I5" s="24">
        <v>513.6</v>
      </c>
    </row>
    <row r="6" spans="1:9" x14ac:dyDescent="0.2">
      <c r="A6" s="24" t="s">
        <v>12</v>
      </c>
      <c r="B6" s="24">
        <v>950</v>
      </c>
      <c r="C6" s="24">
        <v>4</v>
      </c>
      <c r="D6" s="24">
        <v>80</v>
      </c>
      <c r="E6" s="24">
        <v>0</v>
      </c>
      <c r="F6" s="24">
        <v>57</v>
      </c>
      <c r="G6" s="24">
        <v>28.5</v>
      </c>
      <c r="H6" s="24">
        <v>11.4</v>
      </c>
      <c r="I6" s="24">
        <v>773.1</v>
      </c>
    </row>
    <row r="7" spans="1:9" x14ac:dyDescent="0.2">
      <c r="A7" s="24" t="s">
        <v>13</v>
      </c>
      <c r="B7" s="24">
        <v>1254</v>
      </c>
      <c r="C7" s="24">
        <v>2</v>
      </c>
      <c r="D7" s="24">
        <v>40</v>
      </c>
      <c r="E7" s="24">
        <v>0</v>
      </c>
      <c r="F7" s="24">
        <v>75.239999999999995</v>
      </c>
      <c r="G7" s="24">
        <v>51.6648</v>
      </c>
      <c r="H7" s="24">
        <v>22.571999999999999</v>
      </c>
      <c r="I7" s="24">
        <v>1064.5232000000001</v>
      </c>
    </row>
    <row r="8" spans="1:9" x14ac:dyDescent="0.2">
      <c r="A8" s="24" t="s">
        <v>14</v>
      </c>
      <c r="B8" s="24">
        <v>1800</v>
      </c>
      <c r="C8" s="24">
        <v>3</v>
      </c>
      <c r="D8" s="24">
        <v>90</v>
      </c>
      <c r="E8" s="24">
        <v>32.400000000000006</v>
      </c>
      <c r="F8" s="24">
        <v>108</v>
      </c>
      <c r="G8" s="24">
        <v>74.16</v>
      </c>
      <c r="H8" s="24">
        <v>32.4</v>
      </c>
      <c r="I8" s="24">
        <v>1463.0399999999997</v>
      </c>
    </row>
    <row r="9" spans="1:9" x14ac:dyDescent="0.2">
      <c r="A9" s="24" t="s">
        <v>15</v>
      </c>
      <c r="B9" s="24">
        <v>2500</v>
      </c>
      <c r="C9" s="24">
        <v>5</v>
      </c>
      <c r="D9" s="24">
        <v>150</v>
      </c>
      <c r="E9" s="24">
        <v>45.000000000000007</v>
      </c>
      <c r="F9" s="24">
        <v>150</v>
      </c>
      <c r="G9" s="24">
        <v>125</v>
      </c>
      <c r="H9" s="24">
        <v>50</v>
      </c>
      <c r="I9" s="24">
        <v>1980</v>
      </c>
    </row>
    <row r="10" spans="1:9" x14ac:dyDescent="0.2">
      <c r="A10" s="24" t="s">
        <v>16</v>
      </c>
      <c r="B10" s="24">
        <v>45000</v>
      </c>
      <c r="C10" s="24">
        <v>1</v>
      </c>
      <c r="D10" s="24">
        <v>30</v>
      </c>
      <c r="E10" s="24">
        <v>810.00000000000011</v>
      </c>
      <c r="F10" s="24">
        <v>2700</v>
      </c>
      <c r="G10" s="24">
        <v>4950</v>
      </c>
      <c r="H10" s="24">
        <v>1800</v>
      </c>
      <c r="I10" s="24">
        <v>34710</v>
      </c>
    </row>
    <row r="11" spans="1:9" x14ac:dyDescent="0.2">
      <c r="A11" s="24" t="s">
        <v>17</v>
      </c>
      <c r="B11" s="24">
        <v>354</v>
      </c>
      <c r="C11" s="24">
        <v>1</v>
      </c>
      <c r="D11" s="24">
        <v>20</v>
      </c>
      <c r="E11" s="24">
        <v>0</v>
      </c>
      <c r="F11" s="24">
        <v>21.24</v>
      </c>
      <c r="G11" s="24">
        <v>5.31</v>
      </c>
      <c r="H11" s="24">
        <v>1.77</v>
      </c>
      <c r="I11" s="24">
        <v>305.68</v>
      </c>
    </row>
    <row r="12" spans="1:9" x14ac:dyDescent="0.2">
      <c r="A12" s="24" t="s">
        <v>18</v>
      </c>
      <c r="B12" s="24">
        <v>800</v>
      </c>
      <c r="C12" s="24">
        <v>5</v>
      </c>
      <c r="D12" s="24">
        <v>100</v>
      </c>
      <c r="E12" s="24">
        <v>0</v>
      </c>
      <c r="F12" s="24">
        <v>48</v>
      </c>
      <c r="G12" s="24">
        <v>20</v>
      </c>
      <c r="H12" s="24">
        <v>4.8</v>
      </c>
      <c r="I12" s="24">
        <v>627.20000000000005</v>
      </c>
    </row>
    <row r="13" spans="1:9" x14ac:dyDescent="0.2">
      <c r="A13" s="24" t="s">
        <v>19</v>
      </c>
      <c r="B13" s="24">
        <v>950</v>
      </c>
      <c r="C13" s="24">
        <v>4</v>
      </c>
      <c r="D13" s="24">
        <v>80</v>
      </c>
      <c r="E13" s="24">
        <v>0</v>
      </c>
      <c r="F13" s="24">
        <v>57</v>
      </c>
      <c r="G13" s="24">
        <v>28.5</v>
      </c>
      <c r="H13" s="24">
        <v>11.4</v>
      </c>
      <c r="I13" s="24">
        <v>773.1</v>
      </c>
    </row>
    <row r="14" spans="1:9" x14ac:dyDescent="0.2">
      <c r="A14" s="24" t="s">
        <v>20</v>
      </c>
      <c r="B14" s="24">
        <v>1800</v>
      </c>
      <c r="C14" s="24">
        <v>3</v>
      </c>
      <c r="D14" s="24">
        <v>90</v>
      </c>
      <c r="E14" s="24">
        <v>32.400000000000006</v>
      </c>
      <c r="F14" s="24">
        <v>108</v>
      </c>
      <c r="G14" s="24">
        <v>74.16</v>
      </c>
      <c r="H14" s="24">
        <v>32.4</v>
      </c>
      <c r="I14" s="24">
        <v>1463.0399999999997</v>
      </c>
    </row>
    <row r="15" spans="1:9" x14ac:dyDescent="0.2">
      <c r="A15" s="24" t="s">
        <v>21</v>
      </c>
      <c r="B15" s="24">
        <v>3500</v>
      </c>
      <c r="C15" s="24">
        <v>2</v>
      </c>
      <c r="D15" s="24">
        <v>60</v>
      </c>
      <c r="E15" s="24">
        <v>63.000000000000007</v>
      </c>
      <c r="F15" s="24">
        <v>210</v>
      </c>
      <c r="G15" s="24">
        <v>175</v>
      </c>
      <c r="H15" s="24">
        <v>70</v>
      </c>
      <c r="I15" s="24">
        <v>2922</v>
      </c>
    </row>
    <row r="16" spans="1:9" x14ac:dyDescent="0.2">
      <c r="A16" s="24" t="s">
        <v>22</v>
      </c>
      <c r="B16" s="24">
        <v>59868</v>
      </c>
      <c r="C16" s="24">
        <v>33</v>
      </c>
      <c r="D16" s="24">
        <v>800</v>
      </c>
      <c r="E16" s="24">
        <v>982.80000000000007</v>
      </c>
      <c r="F16" s="24">
        <v>3592.08</v>
      </c>
      <c r="G16" s="24">
        <v>5546.6948000000002</v>
      </c>
      <c r="H16" s="24">
        <v>2041.5420000000001</v>
      </c>
      <c r="I16" s="24">
        <v>46904.883199999997</v>
      </c>
    </row>
    <row r="17" spans="1:9" x14ac:dyDescent="0.2">
      <c r="A17" s="24" t="s">
        <v>23</v>
      </c>
      <c r="B17" s="24">
        <v>45000</v>
      </c>
      <c r="C17" s="24">
        <v>5</v>
      </c>
      <c r="D17" s="24">
        <v>150</v>
      </c>
      <c r="E17" s="24">
        <v>810.00000000000011</v>
      </c>
      <c r="F17" s="24">
        <v>2700</v>
      </c>
      <c r="G17" s="24">
        <v>4950</v>
      </c>
      <c r="H17" s="24">
        <v>1800</v>
      </c>
      <c r="I17" s="24">
        <v>34710</v>
      </c>
    </row>
    <row r="18" spans="1:9" x14ac:dyDescent="0.2">
      <c r="A18" s="24" t="s">
        <v>24</v>
      </c>
      <c r="B18" s="24">
        <v>354</v>
      </c>
      <c r="C18" s="24">
        <v>1</v>
      </c>
      <c r="D18" s="24">
        <v>20</v>
      </c>
      <c r="E18" s="24">
        <v>0</v>
      </c>
      <c r="F18" s="24">
        <v>21.24</v>
      </c>
      <c r="G18" s="24">
        <v>5.31</v>
      </c>
      <c r="H18" s="24">
        <v>1.77</v>
      </c>
      <c r="I18" s="24">
        <v>305.68</v>
      </c>
    </row>
    <row r="19" spans="1:9" x14ac:dyDescent="0.2">
      <c r="A19" s="24" t="s">
        <v>25</v>
      </c>
      <c r="B19" s="24">
        <v>4989</v>
      </c>
      <c r="C19" s="24">
        <v>2.75</v>
      </c>
      <c r="D19" s="24">
        <v>66.666666666666671</v>
      </c>
      <c r="E19" s="24">
        <v>81.900000000000006</v>
      </c>
      <c r="F19" s="24">
        <v>299.33999999999997</v>
      </c>
      <c r="G19" s="24">
        <v>462.2245666666667</v>
      </c>
      <c r="H19" s="24">
        <v>170.1285</v>
      </c>
      <c r="I19" s="24">
        <v>3908.7402666666662</v>
      </c>
    </row>
  </sheetData>
  <phoneticPr fontId="3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theme="9" tint="-0.249977111117893"/>
  </sheetPr>
  <dimension ref="A1:I19"/>
  <sheetViews>
    <sheetView workbookViewId="0"/>
  </sheetViews>
  <sheetFormatPr defaultRowHeight="12.75" x14ac:dyDescent="0.2"/>
  <sheetData>
    <row r="1" spans="1:9" x14ac:dyDescent="0.2">
      <c r="A1" s="1" t="s">
        <v>2</v>
      </c>
      <c r="B1" s="1"/>
      <c r="C1" s="1"/>
      <c r="D1" s="1"/>
      <c r="E1" s="1"/>
      <c r="F1" s="1"/>
      <c r="G1" s="1"/>
      <c r="H1" s="1"/>
      <c r="I1" s="1"/>
    </row>
    <row r="3" spans="1:9" x14ac:dyDescent="0.2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0</v>
      </c>
      <c r="H3" t="s">
        <v>1</v>
      </c>
      <c r="I3" t="s">
        <v>9</v>
      </c>
    </row>
    <row r="4" spans="1:9" x14ac:dyDescent="0.2">
      <c r="A4" t="s">
        <v>10</v>
      </c>
      <c r="B4">
        <v>380</v>
      </c>
      <c r="C4">
        <v>2</v>
      </c>
      <c r="D4">
        <v>40</v>
      </c>
      <c r="E4">
        <v>0</v>
      </c>
      <c r="F4">
        <v>22.8</v>
      </c>
      <c r="G4">
        <v>5.7</v>
      </c>
      <c r="H4">
        <v>1.9000000000000001</v>
      </c>
      <c r="I4">
        <v>309.60000000000002</v>
      </c>
    </row>
    <row r="5" spans="1:9" x14ac:dyDescent="0.2">
      <c r="A5" t="s">
        <v>11</v>
      </c>
      <c r="B5">
        <v>580</v>
      </c>
      <c r="C5">
        <v>1</v>
      </c>
      <c r="D5">
        <v>20</v>
      </c>
      <c r="E5">
        <v>0</v>
      </c>
      <c r="F5">
        <v>34.799999999999997</v>
      </c>
      <c r="G5">
        <v>8.6999999999999993</v>
      </c>
      <c r="H5">
        <v>2.9</v>
      </c>
      <c r="I5">
        <v>513.6</v>
      </c>
    </row>
    <row r="6" spans="1:9" x14ac:dyDescent="0.2">
      <c r="A6" t="s">
        <v>12</v>
      </c>
      <c r="B6">
        <v>950</v>
      </c>
      <c r="C6">
        <v>4</v>
      </c>
      <c r="D6">
        <v>80</v>
      </c>
      <c r="E6">
        <v>0</v>
      </c>
      <c r="F6">
        <v>57</v>
      </c>
      <c r="G6">
        <v>28.5</v>
      </c>
      <c r="H6">
        <v>11.4</v>
      </c>
      <c r="I6">
        <v>773.1</v>
      </c>
    </row>
    <row r="7" spans="1:9" x14ac:dyDescent="0.2">
      <c r="A7" t="s">
        <v>13</v>
      </c>
      <c r="B7">
        <v>1254</v>
      </c>
      <c r="C7">
        <v>2</v>
      </c>
      <c r="D7">
        <v>40</v>
      </c>
      <c r="E7">
        <v>0</v>
      </c>
      <c r="F7">
        <v>75.239999999999995</v>
      </c>
      <c r="G7">
        <v>51.6648</v>
      </c>
      <c r="H7">
        <v>22.571999999999999</v>
      </c>
      <c r="I7">
        <v>1064.5232000000001</v>
      </c>
    </row>
    <row r="8" spans="1:9" x14ac:dyDescent="0.2">
      <c r="A8" t="s">
        <v>14</v>
      </c>
      <c r="B8">
        <v>1800</v>
      </c>
      <c r="C8">
        <v>3</v>
      </c>
      <c r="D8">
        <v>90</v>
      </c>
      <c r="E8">
        <v>32.400000000000006</v>
      </c>
      <c r="F8">
        <v>108</v>
      </c>
      <c r="G8">
        <v>74.16</v>
      </c>
      <c r="H8">
        <v>32.4</v>
      </c>
      <c r="I8">
        <v>1463.0399999999997</v>
      </c>
    </row>
    <row r="9" spans="1:9" x14ac:dyDescent="0.2">
      <c r="A9" t="s">
        <v>15</v>
      </c>
      <c r="B9">
        <v>2500</v>
      </c>
      <c r="C9">
        <v>5</v>
      </c>
      <c r="D9">
        <v>150</v>
      </c>
      <c r="E9">
        <v>45.000000000000007</v>
      </c>
      <c r="F9">
        <v>150</v>
      </c>
      <c r="G9">
        <v>125</v>
      </c>
      <c r="H9">
        <v>50</v>
      </c>
      <c r="I9">
        <v>1980</v>
      </c>
    </row>
    <row r="10" spans="1:9" x14ac:dyDescent="0.2">
      <c r="A10" t="s">
        <v>16</v>
      </c>
      <c r="B10">
        <v>45000</v>
      </c>
      <c r="C10">
        <v>1</v>
      </c>
      <c r="D10">
        <v>30</v>
      </c>
      <c r="E10">
        <v>810.00000000000011</v>
      </c>
      <c r="F10">
        <v>2700</v>
      </c>
      <c r="G10">
        <v>4950</v>
      </c>
      <c r="H10">
        <v>1800</v>
      </c>
      <c r="I10">
        <v>34710</v>
      </c>
    </row>
    <row r="11" spans="1:9" x14ac:dyDescent="0.2">
      <c r="A11" t="s">
        <v>17</v>
      </c>
      <c r="B11">
        <v>354</v>
      </c>
      <c r="C11">
        <v>1</v>
      </c>
      <c r="D11">
        <v>20</v>
      </c>
      <c r="E11">
        <v>0</v>
      </c>
      <c r="F11">
        <v>21.24</v>
      </c>
      <c r="G11">
        <v>5.31</v>
      </c>
      <c r="H11">
        <v>1.77</v>
      </c>
      <c r="I11">
        <v>305.68</v>
      </c>
    </row>
    <row r="12" spans="1:9" x14ac:dyDescent="0.2">
      <c r="A12" t="s">
        <v>18</v>
      </c>
      <c r="B12">
        <v>800</v>
      </c>
      <c r="C12">
        <v>5</v>
      </c>
      <c r="D12">
        <v>100</v>
      </c>
      <c r="E12">
        <v>0</v>
      </c>
      <c r="F12">
        <v>48</v>
      </c>
      <c r="G12">
        <v>20</v>
      </c>
      <c r="H12">
        <v>4.8</v>
      </c>
      <c r="I12">
        <v>627.20000000000005</v>
      </c>
    </row>
    <row r="13" spans="1:9" x14ac:dyDescent="0.2">
      <c r="A13" t="s">
        <v>19</v>
      </c>
      <c r="B13">
        <v>950</v>
      </c>
      <c r="C13">
        <v>4</v>
      </c>
      <c r="D13">
        <v>80</v>
      </c>
      <c r="E13">
        <v>0</v>
      </c>
      <c r="F13">
        <v>57</v>
      </c>
      <c r="G13">
        <v>28.5</v>
      </c>
      <c r="H13">
        <v>11.4</v>
      </c>
      <c r="I13">
        <v>773.1</v>
      </c>
    </row>
    <row r="14" spans="1:9" x14ac:dyDescent="0.2">
      <c r="A14" t="s">
        <v>20</v>
      </c>
      <c r="B14">
        <v>1800</v>
      </c>
      <c r="C14">
        <v>3</v>
      </c>
      <c r="D14">
        <v>90</v>
      </c>
      <c r="E14">
        <v>32.400000000000006</v>
      </c>
      <c r="F14">
        <v>108</v>
      </c>
      <c r="G14">
        <v>74.16</v>
      </c>
      <c r="H14">
        <v>32.4</v>
      </c>
      <c r="I14">
        <v>1463.0399999999997</v>
      </c>
    </row>
    <row r="15" spans="1:9" x14ac:dyDescent="0.2">
      <c r="A15" t="s">
        <v>21</v>
      </c>
      <c r="B15">
        <v>3500</v>
      </c>
      <c r="C15">
        <v>2</v>
      </c>
      <c r="D15">
        <v>60</v>
      </c>
      <c r="E15">
        <v>63.000000000000007</v>
      </c>
      <c r="F15">
        <v>210</v>
      </c>
      <c r="G15">
        <v>175</v>
      </c>
      <c r="H15">
        <v>70</v>
      </c>
      <c r="I15">
        <v>2922</v>
      </c>
    </row>
    <row r="16" spans="1:9" x14ac:dyDescent="0.2">
      <c r="A16" t="s">
        <v>22</v>
      </c>
      <c r="B16">
        <v>59868</v>
      </c>
      <c r="C16">
        <v>33</v>
      </c>
      <c r="D16">
        <v>800</v>
      </c>
      <c r="E16">
        <v>982.80000000000007</v>
      </c>
      <c r="F16">
        <v>3592.08</v>
      </c>
      <c r="G16">
        <v>5546.6948000000002</v>
      </c>
      <c r="H16">
        <v>2041.5420000000001</v>
      </c>
      <c r="I16">
        <v>46904.883199999997</v>
      </c>
    </row>
    <row r="17" spans="1:9" x14ac:dyDescent="0.2">
      <c r="A17" t="s">
        <v>23</v>
      </c>
      <c r="B17">
        <v>45000</v>
      </c>
      <c r="C17">
        <v>5</v>
      </c>
      <c r="D17">
        <v>150</v>
      </c>
      <c r="E17">
        <v>810.00000000000011</v>
      </c>
      <c r="F17">
        <v>2700</v>
      </c>
      <c r="G17">
        <v>4950</v>
      </c>
      <c r="H17">
        <v>1800</v>
      </c>
      <c r="I17">
        <v>34710</v>
      </c>
    </row>
    <row r="18" spans="1:9" x14ac:dyDescent="0.2">
      <c r="A18" t="s">
        <v>24</v>
      </c>
      <c r="B18">
        <v>354</v>
      </c>
      <c r="C18">
        <v>1</v>
      </c>
      <c r="D18">
        <v>20</v>
      </c>
      <c r="E18">
        <v>0</v>
      </c>
      <c r="F18">
        <v>21.24</v>
      </c>
      <c r="G18">
        <v>5.31</v>
      </c>
      <c r="H18">
        <v>1.77</v>
      </c>
      <c r="I18">
        <v>305.68</v>
      </c>
    </row>
    <row r="19" spans="1:9" x14ac:dyDescent="0.2">
      <c r="A19" t="s">
        <v>25</v>
      </c>
      <c r="B19">
        <v>4989</v>
      </c>
      <c r="C19">
        <v>2.75</v>
      </c>
      <c r="D19">
        <v>66.666666666666671</v>
      </c>
      <c r="E19">
        <v>81.900000000000006</v>
      </c>
      <c r="F19">
        <v>299.33999999999997</v>
      </c>
      <c r="G19">
        <v>462.2245666666667</v>
      </c>
      <c r="H19">
        <v>170.1285</v>
      </c>
      <c r="I19">
        <v>3908.7402666666662</v>
      </c>
    </row>
  </sheetData>
  <phoneticPr fontId="3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>
    <tabColor rgb="FF008000"/>
  </sheetPr>
  <dimension ref="A1:G86"/>
  <sheetViews>
    <sheetView showGridLines="0" workbookViewId="0"/>
  </sheetViews>
  <sheetFormatPr defaultRowHeight="12.75" x14ac:dyDescent="0.2"/>
  <cols>
    <col min="1" max="1" width="4.5703125" bestFit="1" customWidth="1"/>
    <col min="2" max="2" width="8.140625" bestFit="1" customWidth="1"/>
    <col min="3" max="3" width="6" bestFit="1" customWidth="1"/>
    <col min="4" max="4" width="12.140625" bestFit="1" customWidth="1"/>
    <col min="5" max="5" width="11.5703125" bestFit="1" customWidth="1"/>
    <col min="6" max="6" width="10.5703125" bestFit="1" customWidth="1"/>
    <col min="7" max="7" width="15" bestFit="1" customWidth="1"/>
  </cols>
  <sheetData>
    <row r="1" spans="1:7" x14ac:dyDescent="0.2">
      <c r="A1" s="30" t="s">
        <v>28</v>
      </c>
      <c r="B1" s="30" t="s">
        <v>29</v>
      </c>
      <c r="C1" s="30" t="s">
        <v>30</v>
      </c>
      <c r="D1" s="30" t="s">
        <v>31</v>
      </c>
      <c r="E1" s="30" t="s">
        <v>32</v>
      </c>
      <c r="F1" s="30" t="s">
        <v>33</v>
      </c>
      <c r="G1" s="30" t="s">
        <v>34</v>
      </c>
    </row>
    <row r="2" spans="1:7" x14ac:dyDescent="0.2">
      <c r="A2" s="30" t="s">
        <v>35</v>
      </c>
      <c r="B2" s="30" t="s">
        <v>36</v>
      </c>
      <c r="C2" s="30" t="s">
        <v>37</v>
      </c>
      <c r="D2" s="30" t="s">
        <v>38</v>
      </c>
      <c r="E2" s="30">
        <v>120</v>
      </c>
      <c r="F2" s="30">
        <f t="shared" ref="F2:F33" si="0">IF(B2="carro",13000,4500)</f>
        <v>4500</v>
      </c>
      <c r="G2" s="30">
        <f t="shared" ref="G2:G33" si="1">E2*F2</f>
        <v>540000</v>
      </c>
    </row>
    <row r="3" spans="1:7" x14ac:dyDescent="0.2">
      <c r="A3" s="30" t="s">
        <v>35</v>
      </c>
      <c r="B3" s="30" t="s">
        <v>36</v>
      </c>
      <c r="C3" s="30" t="s">
        <v>39</v>
      </c>
      <c r="D3" s="30" t="s">
        <v>38</v>
      </c>
      <c r="E3" s="30">
        <v>120</v>
      </c>
      <c r="F3" s="30">
        <f t="shared" si="0"/>
        <v>4500</v>
      </c>
      <c r="G3" s="30">
        <f t="shared" si="1"/>
        <v>540000</v>
      </c>
    </row>
    <row r="4" spans="1:7" x14ac:dyDescent="0.2">
      <c r="A4" s="30" t="s">
        <v>35</v>
      </c>
      <c r="B4" s="30" t="s">
        <v>36</v>
      </c>
      <c r="C4" s="30" t="s">
        <v>39</v>
      </c>
      <c r="D4" s="30" t="s">
        <v>38</v>
      </c>
      <c r="E4" s="30">
        <v>300</v>
      </c>
      <c r="F4" s="30">
        <f t="shared" si="0"/>
        <v>4500</v>
      </c>
      <c r="G4" s="30">
        <f t="shared" si="1"/>
        <v>1350000</v>
      </c>
    </row>
    <row r="5" spans="1:7" x14ac:dyDescent="0.2">
      <c r="A5" s="30" t="s">
        <v>35</v>
      </c>
      <c r="B5" s="30" t="s">
        <v>36</v>
      </c>
      <c r="C5" s="30" t="s">
        <v>39</v>
      </c>
      <c r="D5" s="30" t="s">
        <v>38</v>
      </c>
      <c r="E5" s="30">
        <v>300</v>
      </c>
      <c r="F5" s="30">
        <f t="shared" si="0"/>
        <v>4500</v>
      </c>
      <c r="G5" s="30">
        <f t="shared" si="1"/>
        <v>1350000</v>
      </c>
    </row>
    <row r="6" spans="1:7" x14ac:dyDescent="0.2">
      <c r="A6" s="30" t="s">
        <v>40</v>
      </c>
      <c r="B6" s="30" t="s">
        <v>36</v>
      </c>
      <c r="C6" s="30" t="s">
        <v>41</v>
      </c>
      <c r="D6" s="30" t="s">
        <v>38</v>
      </c>
      <c r="E6" s="30">
        <v>400</v>
      </c>
      <c r="F6" s="30">
        <f t="shared" si="0"/>
        <v>4500</v>
      </c>
      <c r="G6" s="30">
        <f t="shared" si="1"/>
        <v>1800000</v>
      </c>
    </row>
    <row r="7" spans="1:7" x14ac:dyDescent="0.2">
      <c r="A7" s="30" t="s">
        <v>42</v>
      </c>
      <c r="B7" s="30" t="s">
        <v>36</v>
      </c>
      <c r="C7" s="30" t="s">
        <v>37</v>
      </c>
      <c r="D7" s="30" t="s">
        <v>38</v>
      </c>
      <c r="E7" s="30">
        <v>520</v>
      </c>
      <c r="F7" s="30">
        <f t="shared" si="0"/>
        <v>4500</v>
      </c>
      <c r="G7" s="30">
        <f t="shared" si="1"/>
        <v>2340000</v>
      </c>
    </row>
    <row r="8" spans="1:7" x14ac:dyDescent="0.2">
      <c r="A8" s="30" t="s">
        <v>42</v>
      </c>
      <c r="B8" s="30" t="s">
        <v>36</v>
      </c>
      <c r="C8" s="30" t="s">
        <v>39</v>
      </c>
      <c r="D8" s="30" t="s">
        <v>38</v>
      </c>
      <c r="E8" s="30">
        <v>520</v>
      </c>
      <c r="F8" s="30">
        <f t="shared" si="0"/>
        <v>4500</v>
      </c>
      <c r="G8" s="30">
        <f t="shared" si="1"/>
        <v>2340000</v>
      </c>
    </row>
    <row r="9" spans="1:7" x14ac:dyDescent="0.2">
      <c r="A9" s="30" t="s">
        <v>42</v>
      </c>
      <c r="B9" s="30" t="s">
        <v>36</v>
      </c>
      <c r="C9" s="30" t="s">
        <v>41</v>
      </c>
      <c r="D9" s="30" t="s">
        <v>38</v>
      </c>
      <c r="E9" s="30">
        <v>600</v>
      </c>
      <c r="F9" s="30">
        <f t="shared" si="0"/>
        <v>4500</v>
      </c>
      <c r="G9" s="30">
        <f t="shared" si="1"/>
        <v>2700000</v>
      </c>
    </row>
    <row r="10" spans="1:7" x14ac:dyDescent="0.2">
      <c r="A10" s="30" t="s">
        <v>42</v>
      </c>
      <c r="B10" s="30" t="s">
        <v>36</v>
      </c>
      <c r="C10" s="30" t="s">
        <v>39</v>
      </c>
      <c r="D10" s="30" t="s">
        <v>38</v>
      </c>
      <c r="E10" s="30">
        <v>600</v>
      </c>
      <c r="F10" s="30">
        <f t="shared" si="0"/>
        <v>4500</v>
      </c>
      <c r="G10" s="30">
        <f t="shared" si="1"/>
        <v>2700000</v>
      </c>
    </row>
    <row r="11" spans="1:7" x14ac:dyDescent="0.2">
      <c r="A11" s="30" t="s">
        <v>42</v>
      </c>
      <c r="B11" s="30" t="s">
        <v>36</v>
      </c>
      <c r="C11" s="30" t="s">
        <v>39</v>
      </c>
      <c r="D11" s="30" t="s">
        <v>38</v>
      </c>
      <c r="E11" s="30">
        <v>600</v>
      </c>
      <c r="F11" s="30">
        <f t="shared" si="0"/>
        <v>4500</v>
      </c>
      <c r="G11" s="30">
        <f t="shared" si="1"/>
        <v>2700000</v>
      </c>
    </row>
    <row r="12" spans="1:7" x14ac:dyDescent="0.2">
      <c r="A12" s="30" t="s">
        <v>43</v>
      </c>
      <c r="B12" s="30" t="s">
        <v>36</v>
      </c>
      <c r="C12" s="30" t="s">
        <v>44</v>
      </c>
      <c r="D12" s="30" t="s">
        <v>38</v>
      </c>
      <c r="E12" s="30">
        <v>620</v>
      </c>
      <c r="F12" s="30">
        <f t="shared" si="0"/>
        <v>4500</v>
      </c>
      <c r="G12" s="30">
        <f t="shared" si="1"/>
        <v>2790000</v>
      </c>
    </row>
    <row r="13" spans="1:7" x14ac:dyDescent="0.2">
      <c r="A13" s="30" t="s">
        <v>43</v>
      </c>
      <c r="B13" s="30" t="s">
        <v>36</v>
      </c>
      <c r="C13" s="30" t="s">
        <v>39</v>
      </c>
      <c r="D13" s="30" t="s">
        <v>38</v>
      </c>
      <c r="E13" s="30">
        <v>620</v>
      </c>
      <c r="F13" s="30">
        <f t="shared" si="0"/>
        <v>4500</v>
      </c>
      <c r="G13" s="30">
        <f t="shared" si="1"/>
        <v>2790000</v>
      </c>
    </row>
    <row r="14" spans="1:7" x14ac:dyDescent="0.2">
      <c r="A14" s="30" t="s">
        <v>40</v>
      </c>
      <c r="B14" s="30" t="s">
        <v>36</v>
      </c>
      <c r="C14" s="30" t="s">
        <v>44</v>
      </c>
      <c r="D14" s="30" t="s">
        <v>38</v>
      </c>
      <c r="E14" s="30">
        <v>622</v>
      </c>
      <c r="F14" s="30">
        <f t="shared" si="0"/>
        <v>4500</v>
      </c>
      <c r="G14" s="30">
        <f t="shared" si="1"/>
        <v>2799000</v>
      </c>
    </row>
    <row r="15" spans="1:7" x14ac:dyDescent="0.2">
      <c r="A15" s="30" t="s">
        <v>43</v>
      </c>
      <c r="B15" s="30" t="s">
        <v>36</v>
      </c>
      <c r="C15" s="30" t="s">
        <v>39</v>
      </c>
      <c r="D15" s="30" t="s">
        <v>38</v>
      </c>
      <c r="E15" s="30">
        <v>750</v>
      </c>
      <c r="F15" s="30">
        <f t="shared" si="0"/>
        <v>4500</v>
      </c>
      <c r="G15" s="30">
        <f t="shared" si="1"/>
        <v>3375000</v>
      </c>
    </row>
    <row r="16" spans="1:7" x14ac:dyDescent="0.2">
      <c r="A16" s="30" t="s">
        <v>45</v>
      </c>
      <c r="B16" s="30" t="s">
        <v>36</v>
      </c>
      <c r="C16" s="30" t="s">
        <v>39</v>
      </c>
      <c r="D16" s="30" t="s">
        <v>38</v>
      </c>
      <c r="E16" s="30">
        <v>800</v>
      </c>
      <c r="F16" s="30">
        <f t="shared" si="0"/>
        <v>4500</v>
      </c>
      <c r="G16" s="30">
        <f t="shared" si="1"/>
        <v>3600000</v>
      </c>
    </row>
    <row r="17" spans="1:7" x14ac:dyDescent="0.2">
      <c r="A17" s="30" t="s">
        <v>45</v>
      </c>
      <c r="B17" s="30" t="s">
        <v>46</v>
      </c>
      <c r="C17" s="30" t="s">
        <v>41</v>
      </c>
      <c r="D17" s="30" t="s">
        <v>38</v>
      </c>
      <c r="E17" s="30">
        <v>300</v>
      </c>
      <c r="F17" s="30">
        <f t="shared" si="0"/>
        <v>13000</v>
      </c>
      <c r="G17" s="30">
        <f t="shared" si="1"/>
        <v>3900000</v>
      </c>
    </row>
    <row r="18" spans="1:7" x14ac:dyDescent="0.2">
      <c r="A18" s="30" t="s">
        <v>45</v>
      </c>
      <c r="B18" s="30" t="s">
        <v>46</v>
      </c>
      <c r="C18" s="30" t="s">
        <v>39</v>
      </c>
      <c r="D18" s="30" t="s">
        <v>38</v>
      </c>
      <c r="E18" s="30">
        <v>300</v>
      </c>
      <c r="F18" s="30">
        <f t="shared" si="0"/>
        <v>13000</v>
      </c>
      <c r="G18" s="30">
        <f t="shared" si="1"/>
        <v>3900000</v>
      </c>
    </row>
    <row r="19" spans="1:7" x14ac:dyDescent="0.2">
      <c r="A19" s="30" t="s">
        <v>45</v>
      </c>
      <c r="B19" s="30" t="s">
        <v>46</v>
      </c>
      <c r="C19" s="30" t="s">
        <v>39</v>
      </c>
      <c r="D19" s="30" t="s">
        <v>38</v>
      </c>
      <c r="E19" s="30">
        <v>300</v>
      </c>
      <c r="F19" s="30">
        <f t="shared" si="0"/>
        <v>13000</v>
      </c>
      <c r="G19" s="30">
        <f t="shared" si="1"/>
        <v>3900000</v>
      </c>
    </row>
    <row r="20" spans="1:7" x14ac:dyDescent="0.2">
      <c r="A20" s="30" t="s">
        <v>43</v>
      </c>
      <c r="B20" s="30" t="s">
        <v>46</v>
      </c>
      <c r="C20" s="30" t="s">
        <v>37</v>
      </c>
      <c r="D20" s="30" t="s">
        <v>38</v>
      </c>
      <c r="E20" s="30">
        <v>300</v>
      </c>
      <c r="F20" s="30">
        <f t="shared" si="0"/>
        <v>13000</v>
      </c>
      <c r="G20" s="30">
        <f t="shared" si="1"/>
        <v>3900000</v>
      </c>
    </row>
    <row r="21" spans="1:7" x14ac:dyDescent="0.2">
      <c r="A21" s="30" t="s">
        <v>43</v>
      </c>
      <c r="B21" s="30" t="s">
        <v>46</v>
      </c>
      <c r="C21" s="30" t="s">
        <v>39</v>
      </c>
      <c r="D21" s="30" t="s">
        <v>38</v>
      </c>
      <c r="E21" s="30">
        <v>300</v>
      </c>
      <c r="F21" s="30">
        <f t="shared" si="0"/>
        <v>13000</v>
      </c>
      <c r="G21" s="30">
        <f t="shared" si="1"/>
        <v>3900000</v>
      </c>
    </row>
    <row r="22" spans="1:7" x14ac:dyDescent="0.2">
      <c r="A22" s="30" t="s">
        <v>35</v>
      </c>
      <c r="B22" s="30" t="s">
        <v>46</v>
      </c>
      <c r="C22" s="30" t="s">
        <v>41</v>
      </c>
      <c r="D22" s="30" t="s">
        <v>38</v>
      </c>
      <c r="E22" s="30">
        <v>450</v>
      </c>
      <c r="F22" s="30">
        <f t="shared" si="0"/>
        <v>13000</v>
      </c>
      <c r="G22" s="30">
        <f t="shared" si="1"/>
        <v>5850000</v>
      </c>
    </row>
    <row r="23" spans="1:7" x14ac:dyDescent="0.2">
      <c r="A23" s="30" t="s">
        <v>35</v>
      </c>
      <c r="B23" s="30" t="s">
        <v>46</v>
      </c>
      <c r="C23" s="30" t="s">
        <v>44</v>
      </c>
      <c r="D23" s="30" t="s">
        <v>38</v>
      </c>
      <c r="E23" s="30">
        <v>520</v>
      </c>
      <c r="F23" s="30">
        <f t="shared" si="0"/>
        <v>13000</v>
      </c>
      <c r="G23" s="30">
        <f t="shared" si="1"/>
        <v>6760000</v>
      </c>
    </row>
    <row r="24" spans="1:7" x14ac:dyDescent="0.2">
      <c r="A24" s="30" t="s">
        <v>42</v>
      </c>
      <c r="B24" s="30" t="s">
        <v>46</v>
      </c>
      <c r="C24" s="30" t="s">
        <v>44</v>
      </c>
      <c r="D24" s="30" t="s">
        <v>38</v>
      </c>
      <c r="E24" s="30">
        <v>600</v>
      </c>
      <c r="F24" s="30">
        <f t="shared" si="0"/>
        <v>13000</v>
      </c>
      <c r="G24" s="30">
        <f t="shared" si="1"/>
        <v>7800000</v>
      </c>
    </row>
    <row r="25" spans="1:7" x14ac:dyDescent="0.2">
      <c r="A25" s="30" t="s">
        <v>42</v>
      </c>
      <c r="B25" s="30" t="s">
        <v>46</v>
      </c>
      <c r="C25" s="30" t="s">
        <v>39</v>
      </c>
      <c r="D25" s="30" t="s">
        <v>38</v>
      </c>
      <c r="E25" s="30">
        <v>600</v>
      </c>
      <c r="F25" s="30">
        <f t="shared" si="0"/>
        <v>13000</v>
      </c>
      <c r="G25" s="30">
        <f t="shared" si="1"/>
        <v>7800000</v>
      </c>
    </row>
    <row r="26" spans="1:7" x14ac:dyDescent="0.2">
      <c r="A26" s="30" t="s">
        <v>43</v>
      </c>
      <c r="B26" s="30" t="s">
        <v>46</v>
      </c>
      <c r="C26" s="30" t="s">
        <v>39</v>
      </c>
      <c r="D26" s="30" t="s">
        <v>38</v>
      </c>
      <c r="E26" s="30">
        <v>622</v>
      </c>
      <c r="F26" s="30">
        <f t="shared" si="0"/>
        <v>13000</v>
      </c>
      <c r="G26" s="30">
        <f t="shared" si="1"/>
        <v>8086000</v>
      </c>
    </row>
    <row r="27" spans="1:7" x14ac:dyDescent="0.2">
      <c r="A27" s="30" t="s">
        <v>43</v>
      </c>
      <c r="B27" s="30" t="s">
        <v>46</v>
      </c>
      <c r="C27" s="30" t="s">
        <v>39</v>
      </c>
      <c r="D27" s="30" t="s">
        <v>38</v>
      </c>
      <c r="E27" s="30">
        <v>622</v>
      </c>
      <c r="F27" s="30">
        <f t="shared" si="0"/>
        <v>13000</v>
      </c>
      <c r="G27" s="30">
        <f t="shared" si="1"/>
        <v>8086000</v>
      </c>
    </row>
    <row r="28" spans="1:7" x14ac:dyDescent="0.2">
      <c r="A28" s="30" t="s">
        <v>45</v>
      </c>
      <c r="B28" s="30" t="s">
        <v>46</v>
      </c>
      <c r="C28" s="30" t="s">
        <v>37</v>
      </c>
      <c r="D28" s="30" t="s">
        <v>38</v>
      </c>
      <c r="E28" s="30">
        <v>750</v>
      </c>
      <c r="F28" s="30">
        <f t="shared" si="0"/>
        <v>13000</v>
      </c>
      <c r="G28" s="30">
        <f t="shared" si="1"/>
        <v>9750000</v>
      </c>
    </row>
    <row r="29" spans="1:7" x14ac:dyDescent="0.2">
      <c r="A29" s="30" t="s">
        <v>40</v>
      </c>
      <c r="B29" s="30" t="s">
        <v>46</v>
      </c>
      <c r="C29" s="30" t="s">
        <v>39</v>
      </c>
      <c r="D29" s="30" t="s">
        <v>38</v>
      </c>
      <c r="E29" s="30">
        <v>800</v>
      </c>
      <c r="F29" s="30">
        <f t="shared" si="0"/>
        <v>13000</v>
      </c>
      <c r="G29" s="30">
        <f t="shared" si="1"/>
        <v>10400000</v>
      </c>
    </row>
    <row r="30" spans="1:7" x14ac:dyDescent="0.2">
      <c r="A30" s="30" t="s">
        <v>35</v>
      </c>
      <c r="B30" s="30" t="s">
        <v>36</v>
      </c>
      <c r="C30" s="30" t="s">
        <v>41</v>
      </c>
      <c r="D30" s="30" t="s">
        <v>47</v>
      </c>
      <c r="E30" s="30">
        <v>300</v>
      </c>
      <c r="F30" s="30">
        <f t="shared" si="0"/>
        <v>4500</v>
      </c>
      <c r="G30" s="30">
        <f t="shared" si="1"/>
        <v>1350000</v>
      </c>
    </row>
    <row r="31" spans="1:7" x14ac:dyDescent="0.2">
      <c r="A31" s="30" t="s">
        <v>35</v>
      </c>
      <c r="B31" s="30" t="s">
        <v>36</v>
      </c>
      <c r="C31" s="30" t="s">
        <v>44</v>
      </c>
      <c r="D31" s="30" t="s">
        <v>47</v>
      </c>
      <c r="E31" s="30">
        <v>300</v>
      </c>
      <c r="F31" s="30">
        <f t="shared" si="0"/>
        <v>4500</v>
      </c>
      <c r="G31" s="30">
        <f t="shared" si="1"/>
        <v>1350000</v>
      </c>
    </row>
    <row r="32" spans="1:7" x14ac:dyDescent="0.2">
      <c r="A32" s="30" t="s">
        <v>42</v>
      </c>
      <c r="B32" s="30" t="s">
        <v>36</v>
      </c>
      <c r="C32" s="30" t="s">
        <v>44</v>
      </c>
      <c r="D32" s="30" t="s">
        <v>47</v>
      </c>
      <c r="E32" s="30">
        <v>300</v>
      </c>
      <c r="F32" s="30">
        <f t="shared" si="0"/>
        <v>4500</v>
      </c>
      <c r="G32" s="30">
        <f t="shared" si="1"/>
        <v>1350000</v>
      </c>
    </row>
    <row r="33" spans="1:7" x14ac:dyDescent="0.2">
      <c r="A33" s="30" t="s">
        <v>40</v>
      </c>
      <c r="B33" s="30" t="s">
        <v>46</v>
      </c>
      <c r="C33" s="30" t="s">
        <v>37</v>
      </c>
      <c r="D33" s="30" t="s">
        <v>47</v>
      </c>
      <c r="E33" s="30">
        <v>120</v>
      </c>
      <c r="F33" s="30">
        <f t="shared" si="0"/>
        <v>13000</v>
      </c>
      <c r="G33" s="30">
        <f t="shared" si="1"/>
        <v>1560000</v>
      </c>
    </row>
    <row r="34" spans="1:7" x14ac:dyDescent="0.2">
      <c r="A34" s="30" t="s">
        <v>40</v>
      </c>
      <c r="B34" s="30" t="s">
        <v>46</v>
      </c>
      <c r="C34" s="30" t="s">
        <v>44</v>
      </c>
      <c r="D34" s="30" t="s">
        <v>47</v>
      </c>
      <c r="E34" s="30">
        <v>120</v>
      </c>
      <c r="F34" s="30">
        <f t="shared" ref="F34:F65" si="2">IF(B34="carro",13000,4500)</f>
        <v>13000</v>
      </c>
      <c r="G34" s="30">
        <f t="shared" ref="G34:G65" si="3">E34*F34</f>
        <v>1560000</v>
      </c>
    </row>
    <row r="35" spans="1:7" x14ac:dyDescent="0.2">
      <c r="A35" s="30" t="s">
        <v>43</v>
      </c>
      <c r="B35" s="30" t="s">
        <v>36</v>
      </c>
      <c r="C35" s="30" t="s">
        <v>37</v>
      </c>
      <c r="D35" s="30" t="s">
        <v>47</v>
      </c>
      <c r="E35" s="30">
        <v>400</v>
      </c>
      <c r="F35" s="30">
        <f t="shared" si="2"/>
        <v>4500</v>
      </c>
      <c r="G35" s="30">
        <f t="shared" si="3"/>
        <v>1800000</v>
      </c>
    </row>
    <row r="36" spans="1:7" x14ac:dyDescent="0.2">
      <c r="A36" s="30" t="s">
        <v>43</v>
      </c>
      <c r="B36" s="30" t="s">
        <v>36</v>
      </c>
      <c r="C36" s="30" t="s">
        <v>44</v>
      </c>
      <c r="D36" s="30" t="s">
        <v>47</v>
      </c>
      <c r="E36" s="30">
        <v>400</v>
      </c>
      <c r="F36" s="30">
        <f t="shared" si="2"/>
        <v>4500</v>
      </c>
      <c r="G36" s="30">
        <f t="shared" si="3"/>
        <v>1800000</v>
      </c>
    </row>
    <row r="37" spans="1:7" x14ac:dyDescent="0.2">
      <c r="A37" s="30" t="s">
        <v>43</v>
      </c>
      <c r="B37" s="30" t="s">
        <v>36</v>
      </c>
      <c r="C37" s="30" t="s">
        <v>44</v>
      </c>
      <c r="D37" s="30" t="s">
        <v>47</v>
      </c>
      <c r="E37" s="30">
        <v>400</v>
      </c>
      <c r="F37" s="30">
        <f t="shared" si="2"/>
        <v>4500</v>
      </c>
      <c r="G37" s="30">
        <f t="shared" si="3"/>
        <v>1800000</v>
      </c>
    </row>
    <row r="38" spans="1:7" x14ac:dyDescent="0.2">
      <c r="A38" s="30" t="s">
        <v>40</v>
      </c>
      <c r="B38" s="30" t="s">
        <v>36</v>
      </c>
      <c r="C38" s="30" t="s">
        <v>44</v>
      </c>
      <c r="D38" s="30" t="s">
        <v>47</v>
      </c>
      <c r="E38" s="30">
        <v>450</v>
      </c>
      <c r="F38" s="30">
        <f t="shared" si="2"/>
        <v>4500</v>
      </c>
      <c r="G38" s="30">
        <f t="shared" si="3"/>
        <v>2025000</v>
      </c>
    </row>
    <row r="39" spans="1:7" x14ac:dyDescent="0.2">
      <c r="A39" s="30" t="s">
        <v>40</v>
      </c>
      <c r="B39" s="30" t="s">
        <v>36</v>
      </c>
      <c r="C39" s="30" t="s">
        <v>44</v>
      </c>
      <c r="D39" s="30" t="s">
        <v>47</v>
      </c>
      <c r="E39" s="30">
        <v>450</v>
      </c>
      <c r="F39" s="30">
        <f t="shared" si="2"/>
        <v>4500</v>
      </c>
      <c r="G39" s="30">
        <f t="shared" si="3"/>
        <v>2025000</v>
      </c>
    </row>
    <row r="40" spans="1:7" x14ac:dyDescent="0.2">
      <c r="A40" s="30" t="s">
        <v>40</v>
      </c>
      <c r="B40" s="30" t="s">
        <v>36</v>
      </c>
      <c r="C40" s="30" t="s">
        <v>39</v>
      </c>
      <c r="D40" s="30" t="s">
        <v>47</v>
      </c>
      <c r="E40" s="30">
        <v>520</v>
      </c>
      <c r="F40" s="30">
        <f t="shared" si="2"/>
        <v>4500</v>
      </c>
      <c r="G40" s="30">
        <f t="shared" si="3"/>
        <v>2340000</v>
      </c>
    </row>
    <row r="41" spans="1:7" x14ac:dyDescent="0.2">
      <c r="A41" s="30" t="s">
        <v>40</v>
      </c>
      <c r="B41" s="30" t="s">
        <v>36</v>
      </c>
      <c r="C41" s="30" t="s">
        <v>44</v>
      </c>
      <c r="D41" s="30" t="s">
        <v>47</v>
      </c>
      <c r="E41" s="30">
        <v>520</v>
      </c>
      <c r="F41" s="30">
        <f t="shared" si="2"/>
        <v>4500</v>
      </c>
      <c r="G41" s="30">
        <f t="shared" si="3"/>
        <v>2340000</v>
      </c>
    </row>
    <row r="42" spans="1:7" x14ac:dyDescent="0.2">
      <c r="A42" s="30" t="s">
        <v>43</v>
      </c>
      <c r="B42" s="30" t="s">
        <v>36</v>
      </c>
      <c r="C42" s="30" t="s">
        <v>39</v>
      </c>
      <c r="D42" s="30" t="s">
        <v>47</v>
      </c>
      <c r="E42" s="30">
        <v>600</v>
      </c>
      <c r="F42" s="30">
        <f t="shared" si="2"/>
        <v>4500</v>
      </c>
      <c r="G42" s="30">
        <f t="shared" si="3"/>
        <v>2700000</v>
      </c>
    </row>
    <row r="43" spans="1:7" x14ac:dyDescent="0.2">
      <c r="A43" s="30" t="s">
        <v>45</v>
      </c>
      <c r="B43" s="30" t="s">
        <v>36</v>
      </c>
      <c r="C43" s="30" t="s">
        <v>41</v>
      </c>
      <c r="D43" s="30" t="s">
        <v>47</v>
      </c>
      <c r="E43" s="30">
        <v>620</v>
      </c>
      <c r="F43" s="30">
        <f t="shared" si="2"/>
        <v>4500</v>
      </c>
      <c r="G43" s="30">
        <f t="shared" si="3"/>
        <v>2790000</v>
      </c>
    </row>
    <row r="44" spans="1:7" x14ac:dyDescent="0.2">
      <c r="A44" s="30" t="s">
        <v>35</v>
      </c>
      <c r="B44" s="30" t="s">
        <v>36</v>
      </c>
      <c r="C44" s="30" t="s">
        <v>44</v>
      </c>
      <c r="D44" s="30" t="s">
        <v>47</v>
      </c>
      <c r="E44" s="30">
        <v>800</v>
      </c>
      <c r="F44" s="30">
        <f t="shared" si="2"/>
        <v>4500</v>
      </c>
      <c r="G44" s="30">
        <f t="shared" si="3"/>
        <v>3600000</v>
      </c>
    </row>
    <row r="45" spans="1:7" x14ac:dyDescent="0.2">
      <c r="A45" s="30" t="s">
        <v>45</v>
      </c>
      <c r="B45" s="30" t="s">
        <v>36</v>
      </c>
      <c r="C45" s="30" t="s">
        <v>37</v>
      </c>
      <c r="D45" s="30" t="s">
        <v>47</v>
      </c>
      <c r="E45" s="30">
        <v>800</v>
      </c>
      <c r="F45" s="30">
        <f t="shared" si="2"/>
        <v>4500</v>
      </c>
      <c r="G45" s="30">
        <f t="shared" si="3"/>
        <v>3600000</v>
      </c>
    </row>
    <row r="46" spans="1:7" x14ac:dyDescent="0.2">
      <c r="A46" s="30" t="s">
        <v>42</v>
      </c>
      <c r="B46" s="30" t="s">
        <v>46</v>
      </c>
      <c r="C46" s="30" t="s">
        <v>37</v>
      </c>
      <c r="D46" s="30" t="s">
        <v>47</v>
      </c>
      <c r="E46" s="30">
        <v>450</v>
      </c>
      <c r="F46" s="30">
        <f t="shared" si="2"/>
        <v>13000</v>
      </c>
      <c r="G46" s="30">
        <f t="shared" si="3"/>
        <v>5850000</v>
      </c>
    </row>
    <row r="47" spans="1:7" x14ac:dyDescent="0.2">
      <c r="A47" s="30" t="s">
        <v>42</v>
      </c>
      <c r="B47" s="30" t="s">
        <v>46</v>
      </c>
      <c r="C47" s="30" t="s">
        <v>44</v>
      </c>
      <c r="D47" s="30" t="s">
        <v>47</v>
      </c>
      <c r="E47" s="30">
        <v>450</v>
      </c>
      <c r="F47" s="30">
        <f t="shared" si="2"/>
        <v>13000</v>
      </c>
      <c r="G47" s="30">
        <f t="shared" si="3"/>
        <v>5850000</v>
      </c>
    </row>
    <row r="48" spans="1:7" x14ac:dyDescent="0.2">
      <c r="A48" s="30" t="s">
        <v>42</v>
      </c>
      <c r="B48" s="30" t="s">
        <v>46</v>
      </c>
      <c r="C48" s="30" t="s">
        <v>44</v>
      </c>
      <c r="D48" s="30" t="s">
        <v>47</v>
      </c>
      <c r="E48" s="30">
        <v>450</v>
      </c>
      <c r="F48" s="30">
        <f t="shared" si="2"/>
        <v>13000</v>
      </c>
      <c r="G48" s="30">
        <f t="shared" si="3"/>
        <v>5850000</v>
      </c>
    </row>
    <row r="49" spans="1:7" x14ac:dyDescent="0.2">
      <c r="A49" s="30" t="s">
        <v>43</v>
      </c>
      <c r="B49" s="30" t="s">
        <v>46</v>
      </c>
      <c r="C49" s="30" t="s">
        <v>41</v>
      </c>
      <c r="D49" s="30" t="s">
        <v>47</v>
      </c>
      <c r="E49" s="30">
        <v>600</v>
      </c>
      <c r="F49" s="30">
        <f t="shared" si="2"/>
        <v>13000</v>
      </c>
      <c r="G49" s="30">
        <f t="shared" si="3"/>
        <v>7800000</v>
      </c>
    </row>
    <row r="50" spans="1:7" x14ac:dyDescent="0.2">
      <c r="A50" s="30" t="s">
        <v>43</v>
      </c>
      <c r="B50" s="30" t="s">
        <v>46</v>
      </c>
      <c r="C50" s="30" t="s">
        <v>44</v>
      </c>
      <c r="D50" s="30" t="s">
        <v>47</v>
      </c>
      <c r="E50" s="30">
        <v>600</v>
      </c>
      <c r="F50" s="30">
        <f t="shared" si="2"/>
        <v>13000</v>
      </c>
      <c r="G50" s="30">
        <f t="shared" si="3"/>
        <v>7800000</v>
      </c>
    </row>
    <row r="51" spans="1:7" x14ac:dyDescent="0.2">
      <c r="A51" s="30" t="s">
        <v>40</v>
      </c>
      <c r="B51" s="30" t="s">
        <v>46</v>
      </c>
      <c r="C51" s="30" t="s">
        <v>41</v>
      </c>
      <c r="D51" s="30" t="s">
        <v>47</v>
      </c>
      <c r="E51" s="30">
        <v>600</v>
      </c>
      <c r="F51" s="30">
        <f t="shared" si="2"/>
        <v>13000</v>
      </c>
      <c r="G51" s="30">
        <f t="shared" si="3"/>
        <v>7800000</v>
      </c>
    </row>
    <row r="52" spans="1:7" x14ac:dyDescent="0.2">
      <c r="A52" s="30" t="s">
        <v>35</v>
      </c>
      <c r="B52" s="30" t="s">
        <v>46</v>
      </c>
      <c r="C52" s="30" t="s">
        <v>44</v>
      </c>
      <c r="D52" s="30" t="s">
        <v>47</v>
      </c>
      <c r="E52" s="30">
        <v>620</v>
      </c>
      <c r="F52" s="30">
        <f t="shared" si="2"/>
        <v>13000</v>
      </c>
      <c r="G52" s="30">
        <f t="shared" si="3"/>
        <v>8060000</v>
      </c>
    </row>
    <row r="53" spans="1:7" x14ac:dyDescent="0.2">
      <c r="A53" s="30" t="s">
        <v>35</v>
      </c>
      <c r="B53" s="30" t="s">
        <v>46</v>
      </c>
      <c r="C53" s="30" t="s">
        <v>44</v>
      </c>
      <c r="D53" s="30" t="s">
        <v>47</v>
      </c>
      <c r="E53" s="30">
        <v>620</v>
      </c>
      <c r="F53" s="30">
        <f t="shared" si="2"/>
        <v>13000</v>
      </c>
      <c r="G53" s="30">
        <f t="shared" si="3"/>
        <v>8060000</v>
      </c>
    </row>
    <row r="54" spans="1:7" x14ac:dyDescent="0.2">
      <c r="A54" s="30" t="s">
        <v>45</v>
      </c>
      <c r="B54" s="30" t="s">
        <v>46</v>
      </c>
      <c r="C54" s="30" t="s">
        <v>44</v>
      </c>
      <c r="D54" s="30" t="s">
        <v>47</v>
      </c>
      <c r="E54" s="30">
        <v>622</v>
      </c>
      <c r="F54" s="30">
        <f t="shared" si="2"/>
        <v>13000</v>
      </c>
      <c r="G54" s="30">
        <f t="shared" si="3"/>
        <v>8086000</v>
      </c>
    </row>
    <row r="55" spans="1:7" x14ac:dyDescent="0.2">
      <c r="A55" s="30" t="s">
        <v>35</v>
      </c>
      <c r="B55" s="30" t="s">
        <v>46</v>
      </c>
      <c r="C55" s="30" t="s">
        <v>39</v>
      </c>
      <c r="D55" s="30" t="s">
        <v>47</v>
      </c>
      <c r="E55" s="30">
        <v>750</v>
      </c>
      <c r="F55" s="30">
        <f t="shared" si="2"/>
        <v>13000</v>
      </c>
      <c r="G55" s="30">
        <f t="shared" si="3"/>
        <v>9750000</v>
      </c>
    </row>
    <row r="56" spans="1:7" x14ac:dyDescent="0.2">
      <c r="A56" s="30" t="s">
        <v>35</v>
      </c>
      <c r="B56" s="30" t="s">
        <v>46</v>
      </c>
      <c r="C56" s="30" t="s">
        <v>44</v>
      </c>
      <c r="D56" s="30" t="s">
        <v>47</v>
      </c>
      <c r="E56" s="30">
        <v>750</v>
      </c>
      <c r="F56" s="30">
        <f t="shared" si="2"/>
        <v>13000</v>
      </c>
      <c r="G56" s="30">
        <f t="shared" si="3"/>
        <v>9750000</v>
      </c>
    </row>
    <row r="57" spans="1:7" x14ac:dyDescent="0.2">
      <c r="A57" s="30" t="s">
        <v>35</v>
      </c>
      <c r="B57" s="30" t="s">
        <v>46</v>
      </c>
      <c r="C57" s="30" t="s">
        <v>44</v>
      </c>
      <c r="D57" s="30" t="s">
        <v>47</v>
      </c>
      <c r="E57" s="30">
        <v>750</v>
      </c>
      <c r="F57" s="30">
        <f t="shared" si="2"/>
        <v>13000</v>
      </c>
      <c r="G57" s="30">
        <f t="shared" si="3"/>
        <v>9750000</v>
      </c>
    </row>
    <row r="58" spans="1:7" x14ac:dyDescent="0.2">
      <c r="A58" s="30" t="s">
        <v>42</v>
      </c>
      <c r="B58" s="30" t="s">
        <v>46</v>
      </c>
      <c r="C58" s="30" t="s">
        <v>39</v>
      </c>
      <c r="D58" s="30" t="s">
        <v>47</v>
      </c>
      <c r="E58" s="30">
        <v>800</v>
      </c>
      <c r="F58" s="30">
        <f t="shared" si="2"/>
        <v>13000</v>
      </c>
      <c r="G58" s="30">
        <f t="shared" si="3"/>
        <v>10400000</v>
      </c>
    </row>
    <row r="59" spans="1:7" x14ac:dyDescent="0.2">
      <c r="A59" s="30" t="s">
        <v>45</v>
      </c>
      <c r="B59" s="30" t="s">
        <v>36</v>
      </c>
      <c r="C59" s="30" t="s">
        <v>41</v>
      </c>
      <c r="D59" s="30" t="s">
        <v>48</v>
      </c>
      <c r="E59" s="30">
        <v>120</v>
      </c>
      <c r="F59" s="30">
        <f t="shared" si="2"/>
        <v>4500</v>
      </c>
      <c r="G59" s="30">
        <f t="shared" si="3"/>
        <v>540000</v>
      </c>
    </row>
    <row r="60" spans="1:7" x14ac:dyDescent="0.2">
      <c r="A60" s="30" t="s">
        <v>45</v>
      </c>
      <c r="B60" s="30" t="s">
        <v>36</v>
      </c>
      <c r="C60" s="30" t="s">
        <v>37</v>
      </c>
      <c r="D60" s="30" t="s">
        <v>48</v>
      </c>
      <c r="E60" s="30">
        <v>120</v>
      </c>
      <c r="F60" s="30">
        <f t="shared" si="2"/>
        <v>4500</v>
      </c>
      <c r="G60" s="30">
        <f t="shared" si="3"/>
        <v>540000</v>
      </c>
    </row>
    <row r="61" spans="1:7" x14ac:dyDescent="0.2">
      <c r="A61" s="30" t="s">
        <v>42</v>
      </c>
      <c r="B61" s="30" t="s">
        <v>36</v>
      </c>
      <c r="C61" s="30" t="s">
        <v>37</v>
      </c>
      <c r="D61" s="30" t="s">
        <v>48</v>
      </c>
      <c r="E61" s="30">
        <v>300</v>
      </c>
      <c r="F61" s="30">
        <f t="shared" si="2"/>
        <v>4500</v>
      </c>
      <c r="G61" s="30">
        <f t="shared" si="3"/>
        <v>1350000</v>
      </c>
    </row>
    <row r="62" spans="1:7" x14ac:dyDescent="0.2">
      <c r="A62" s="30" t="s">
        <v>43</v>
      </c>
      <c r="B62" s="30" t="s">
        <v>46</v>
      </c>
      <c r="C62" s="30" t="s">
        <v>39</v>
      </c>
      <c r="D62" s="30" t="s">
        <v>48</v>
      </c>
      <c r="E62" s="30">
        <v>120</v>
      </c>
      <c r="F62" s="30">
        <f t="shared" si="2"/>
        <v>13000</v>
      </c>
      <c r="G62" s="30">
        <f t="shared" si="3"/>
        <v>1560000</v>
      </c>
    </row>
    <row r="63" spans="1:7" x14ac:dyDescent="0.2">
      <c r="A63" s="30" t="s">
        <v>43</v>
      </c>
      <c r="B63" s="30" t="s">
        <v>36</v>
      </c>
      <c r="C63" s="30" t="s">
        <v>41</v>
      </c>
      <c r="D63" s="30" t="s">
        <v>48</v>
      </c>
      <c r="E63" s="30">
        <v>450</v>
      </c>
      <c r="F63" s="30">
        <f t="shared" si="2"/>
        <v>4500</v>
      </c>
      <c r="G63" s="30">
        <f t="shared" si="3"/>
        <v>2025000</v>
      </c>
    </row>
    <row r="64" spans="1:7" x14ac:dyDescent="0.2">
      <c r="A64" s="30" t="s">
        <v>35</v>
      </c>
      <c r="B64" s="30" t="s">
        <v>36</v>
      </c>
      <c r="C64" s="30" t="s">
        <v>44</v>
      </c>
      <c r="D64" s="30" t="s">
        <v>48</v>
      </c>
      <c r="E64" s="30">
        <v>600</v>
      </c>
      <c r="F64" s="30">
        <f t="shared" si="2"/>
        <v>4500</v>
      </c>
      <c r="G64" s="30">
        <f t="shared" si="3"/>
        <v>2700000</v>
      </c>
    </row>
    <row r="65" spans="1:7" x14ac:dyDescent="0.2">
      <c r="A65" s="30" t="s">
        <v>45</v>
      </c>
      <c r="B65" s="30" t="s">
        <v>36</v>
      </c>
      <c r="C65" s="30" t="s">
        <v>44</v>
      </c>
      <c r="D65" s="30" t="s">
        <v>48</v>
      </c>
      <c r="E65" s="30">
        <v>600</v>
      </c>
      <c r="F65" s="30">
        <f t="shared" si="2"/>
        <v>4500</v>
      </c>
      <c r="G65" s="30">
        <f t="shared" si="3"/>
        <v>2700000</v>
      </c>
    </row>
    <row r="66" spans="1:7" x14ac:dyDescent="0.2">
      <c r="A66" s="30" t="s">
        <v>45</v>
      </c>
      <c r="B66" s="30" t="s">
        <v>36</v>
      </c>
      <c r="C66" s="30" t="s">
        <v>41</v>
      </c>
      <c r="D66" s="30" t="s">
        <v>48</v>
      </c>
      <c r="E66" s="30">
        <v>600</v>
      </c>
      <c r="F66" s="30">
        <f t="shared" ref="F66:F86" si="4">IF(B66="carro",13000,4500)</f>
        <v>4500</v>
      </c>
      <c r="G66" s="30">
        <f t="shared" ref="G66:G86" si="5">E66*F66</f>
        <v>2700000</v>
      </c>
    </row>
    <row r="67" spans="1:7" x14ac:dyDescent="0.2">
      <c r="A67" s="30" t="s">
        <v>42</v>
      </c>
      <c r="B67" s="30" t="s">
        <v>36</v>
      </c>
      <c r="C67" s="30" t="s">
        <v>39</v>
      </c>
      <c r="D67" s="30" t="s">
        <v>48</v>
      </c>
      <c r="E67" s="30">
        <v>622</v>
      </c>
      <c r="F67" s="30">
        <f t="shared" si="4"/>
        <v>4500</v>
      </c>
      <c r="G67" s="30">
        <f t="shared" si="5"/>
        <v>2799000</v>
      </c>
    </row>
    <row r="68" spans="1:7" x14ac:dyDescent="0.2">
      <c r="A68" s="30" t="s">
        <v>42</v>
      </c>
      <c r="B68" s="30" t="s">
        <v>36</v>
      </c>
      <c r="C68" s="30" t="s">
        <v>41</v>
      </c>
      <c r="D68" s="30" t="s">
        <v>48</v>
      </c>
      <c r="E68" s="30">
        <v>622</v>
      </c>
      <c r="F68" s="30">
        <f t="shared" si="4"/>
        <v>4500</v>
      </c>
      <c r="G68" s="30">
        <f t="shared" si="5"/>
        <v>2799000</v>
      </c>
    </row>
    <row r="69" spans="1:7" x14ac:dyDescent="0.2">
      <c r="A69" s="30" t="s">
        <v>40</v>
      </c>
      <c r="B69" s="30" t="s">
        <v>36</v>
      </c>
      <c r="C69" s="30" t="s">
        <v>37</v>
      </c>
      <c r="D69" s="30" t="s">
        <v>48</v>
      </c>
      <c r="E69" s="30">
        <v>750</v>
      </c>
      <c r="F69" s="30">
        <f t="shared" si="4"/>
        <v>4500</v>
      </c>
      <c r="G69" s="30">
        <f t="shared" si="5"/>
        <v>3375000</v>
      </c>
    </row>
    <row r="70" spans="1:7" x14ac:dyDescent="0.2">
      <c r="A70" s="30" t="s">
        <v>40</v>
      </c>
      <c r="B70" s="30" t="s">
        <v>36</v>
      </c>
      <c r="C70" s="30" t="s">
        <v>41</v>
      </c>
      <c r="D70" s="30" t="s">
        <v>48</v>
      </c>
      <c r="E70" s="30">
        <v>750</v>
      </c>
      <c r="F70" s="30">
        <f t="shared" si="4"/>
        <v>4500</v>
      </c>
      <c r="G70" s="30">
        <f t="shared" si="5"/>
        <v>3375000</v>
      </c>
    </row>
    <row r="71" spans="1:7" x14ac:dyDescent="0.2">
      <c r="A71" s="30" t="s">
        <v>35</v>
      </c>
      <c r="B71" s="30" t="s">
        <v>36</v>
      </c>
      <c r="C71" s="30" t="s">
        <v>39</v>
      </c>
      <c r="D71" s="30" t="s">
        <v>48</v>
      </c>
      <c r="E71" s="30">
        <v>800</v>
      </c>
      <c r="F71" s="30">
        <f t="shared" si="4"/>
        <v>4500</v>
      </c>
      <c r="G71" s="30">
        <f t="shared" si="5"/>
        <v>3600000</v>
      </c>
    </row>
    <row r="72" spans="1:7" x14ac:dyDescent="0.2">
      <c r="A72" s="30" t="s">
        <v>35</v>
      </c>
      <c r="B72" s="30" t="s">
        <v>36</v>
      </c>
      <c r="C72" s="30" t="s">
        <v>41</v>
      </c>
      <c r="D72" s="30" t="s">
        <v>48</v>
      </c>
      <c r="E72" s="30">
        <v>800</v>
      </c>
      <c r="F72" s="30">
        <f t="shared" si="4"/>
        <v>4500</v>
      </c>
      <c r="G72" s="30">
        <f t="shared" si="5"/>
        <v>3600000</v>
      </c>
    </row>
    <row r="73" spans="1:7" x14ac:dyDescent="0.2">
      <c r="A73" s="30" t="s">
        <v>35</v>
      </c>
      <c r="B73" s="30" t="s">
        <v>36</v>
      </c>
      <c r="C73" s="30" t="s">
        <v>37</v>
      </c>
      <c r="D73" s="30" t="s">
        <v>48</v>
      </c>
      <c r="E73" s="30">
        <v>800</v>
      </c>
      <c r="F73" s="30">
        <f t="shared" si="4"/>
        <v>4500</v>
      </c>
      <c r="G73" s="30">
        <f t="shared" si="5"/>
        <v>3600000</v>
      </c>
    </row>
    <row r="74" spans="1:7" x14ac:dyDescent="0.2">
      <c r="A74" s="30" t="s">
        <v>43</v>
      </c>
      <c r="B74" s="30" t="s">
        <v>46</v>
      </c>
      <c r="C74" s="30" t="s">
        <v>44</v>
      </c>
      <c r="D74" s="30" t="s">
        <v>48</v>
      </c>
      <c r="E74" s="30">
        <v>300</v>
      </c>
      <c r="F74" s="30">
        <f t="shared" si="4"/>
        <v>13000</v>
      </c>
      <c r="G74" s="30">
        <f t="shared" si="5"/>
        <v>3900000</v>
      </c>
    </row>
    <row r="75" spans="1:7" x14ac:dyDescent="0.2">
      <c r="A75" s="30" t="s">
        <v>40</v>
      </c>
      <c r="B75" s="30" t="s">
        <v>46</v>
      </c>
      <c r="C75" s="30" t="s">
        <v>41</v>
      </c>
      <c r="D75" s="30" t="s">
        <v>48</v>
      </c>
      <c r="E75" s="30">
        <v>300</v>
      </c>
      <c r="F75" s="30">
        <f t="shared" si="4"/>
        <v>13000</v>
      </c>
      <c r="G75" s="30">
        <f t="shared" si="5"/>
        <v>3900000</v>
      </c>
    </row>
    <row r="76" spans="1:7" x14ac:dyDescent="0.2">
      <c r="A76" s="30" t="s">
        <v>35</v>
      </c>
      <c r="B76" s="30" t="s">
        <v>46</v>
      </c>
      <c r="C76" s="30" t="s">
        <v>37</v>
      </c>
      <c r="D76" s="30" t="s">
        <v>48</v>
      </c>
      <c r="E76" s="30">
        <v>400</v>
      </c>
      <c r="F76" s="30">
        <f t="shared" si="4"/>
        <v>13000</v>
      </c>
      <c r="G76" s="30">
        <f t="shared" si="5"/>
        <v>5200000</v>
      </c>
    </row>
    <row r="77" spans="1:7" x14ac:dyDescent="0.2">
      <c r="A77" s="30" t="s">
        <v>45</v>
      </c>
      <c r="B77" s="30" t="s">
        <v>46</v>
      </c>
      <c r="C77" s="30" t="s">
        <v>39</v>
      </c>
      <c r="D77" s="30" t="s">
        <v>48</v>
      </c>
      <c r="E77" s="30">
        <v>520</v>
      </c>
      <c r="F77" s="30">
        <f t="shared" si="4"/>
        <v>13000</v>
      </c>
      <c r="G77" s="30">
        <f t="shared" si="5"/>
        <v>6760000</v>
      </c>
    </row>
    <row r="78" spans="1:7" x14ac:dyDescent="0.2">
      <c r="A78" s="30" t="s">
        <v>45</v>
      </c>
      <c r="B78" s="30" t="s">
        <v>46</v>
      </c>
      <c r="C78" s="30" t="s">
        <v>37</v>
      </c>
      <c r="D78" s="30" t="s">
        <v>48</v>
      </c>
      <c r="E78" s="30">
        <v>520</v>
      </c>
      <c r="F78" s="30">
        <f t="shared" si="4"/>
        <v>13000</v>
      </c>
      <c r="G78" s="30">
        <f t="shared" si="5"/>
        <v>6760000</v>
      </c>
    </row>
    <row r="79" spans="1:7" x14ac:dyDescent="0.2">
      <c r="A79" s="30" t="s">
        <v>45</v>
      </c>
      <c r="B79" s="30" t="s">
        <v>46</v>
      </c>
      <c r="C79" s="30" t="s">
        <v>37</v>
      </c>
      <c r="D79" s="30" t="s">
        <v>48</v>
      </c>
      <c r="E79" s="30">
        <v>600</v>
      </c>
      <c r="F79" s="30">
        <f t="shared" si="4"/>
        <v>13000</v>
      </c>
      <c r="G79" s="30">
        <f t="shared" si="5"/>
        <v>7800000</v>
      </c>
    </row>
    <row r="80" spans="1:7" x14ac:dyDescent="0.2">
      <c r="A80" s="30" t="s">
        <v>42</v>
      </c>
      <c r="B80" s="30" t="s">
        <v>46</v>
      </c>
      <c r="C80" s="30" t="s">
        <v>41</v>
      </c>
      <c r="D80" s="30" t="s">
        <v>48</v>
      </c>
      <c r="E80" s="30">
        <v>620</v>
      </c>
      <c r="F80" s="30">
        <f t="shared" si="4"/>
        <v>13000</v>
      </c>
      <c r="G80" s="30">
        <f t="shared" si="5"/>
        <v>8060000</v>
      </c>
    </row>
    <row r="81" spans="1:7" x14ac:dyDescent="0.2">
      <c r="A81" s="30" t="s">
        <v>42</v>
      </c>
      <c r="B81" s="30" t="s">
        <v>46</v>
      </c>
      <c r="C81" s="30" t="s">
        <v>37</v>
      </c>
      <c r="D81" s="30" t="s">
        <v>48</v>
      </c>
      <c r="E81" s="30">
        <v>620</v>
      </c>
      <c r="F81" s="30">
        <f t="shared" si="4"/>
        <v>13000</v>
      </c>
      <c r="G81" s="30">
        <f t="shared" si="5"/>
        <v>8060000</v>
      </c>
    </row>
    <row r="82" spans="1:7" x14ac:dyDescent="0.2">
      <c r="A82" s="30" t="s">
        <v>40</v>
      </c>
      <c r="B82" s="30" t="s">
        <v>46</v>
      </c>
      <c r="C82" s="30" t="s">
        <v>44</v>
      </c>
      <c r="D82" s="30" t="s">
        <v>48</v>
      </c>
      <c r="E82" s="30">
        <v>800</v>
      </c>
      <c r="F82" s="30">
        <f t="shared" si="4"/>
        <v>13000</v>
      </c>
      <c r="G82" s="30">
        <f t="shared" si="5"/>
        <v>10400000</v>
      </c>
    </row>
    <row r="83" spans="1:7" x14ac:dyDescent="0.2">
      <c r="A83" s="30" t="s">
        <v>40</v>
      </c>
      <c r="B83" s="30" t="s">
        <v>46</v>
      </c>
      <c r="C83" s="30" t="s">
        <v>37</v>
      </c>
      <c r="D83" s="30" t="s">
        <v>48</v>
      </c>
      <c r="E83" s="30">
        <v>800</v>
      </c>
      <c r="F83" s="30">
        <f t="shared" si="4"/>
        <v>13000</v>
      </c>
      <c r="G83" s="30">
        <f t="shared" si="5"/>
        <v>10400000</v>
      </c>
    </row>
    <row r="84" spans="1:7" x14ac:dyDescent="0.2">
      <c r="A84" s="30" t="s">
        <v>40</v>
      </c>
      <c r="B84" s="30" t="s">
        <v>46</v>
      </c>
      <c r="C84" s="30" t="s">
        <v>41</v>
      </c>
      <c r="D84" s="30" t="s">
        <v>48</v>
      </c>
      <c r="E84" s="30">
        <v>800</v>
      </c>
      <c r="F84" s="30">
        <f t="shared" si="4"/>
        <v>13000</v>
      </c>
      <c r="G84" s="30">
        <f t="shared" si="5"/>
        <v>10400000</v>
      </c>
    </row>
    <row r="85" spans="1:7" x14ac:dyDescent="0.2">
      <c r="A85" s="30" t="s">
        <v>42</v>
      </c>
      <c r="B85" s="30" t="s">
        <v>46</v>
      </c>
      <c r="C85" s="30" t="s">
        <v>37</v>
      </c>
      <c r="D85" s="30" t="s">
        <v>48</v>
      </c>
      <c r="E85" s="30">
        <v>800</v>
      </c>
      <c r="F85" s="30">
        <f t="shared" si="4"/>
        <v>13000</v>
      </c>
      <c r="G85" s="30">
        <f t="shared" si="5"/>
        <v>10400000</v>
      </c>
    </row>
    <row r="86" spans="1:7" x14ac:dyDescent="0.2">
      <c r="A86" s="30" t="s">
        <v>42</v>
      </c>
      <c r="B86" s="30" t="s">
        <v>46</v>
      </c>
      <c r="C86" s="30" t="s">
        <v>41</v>
      </c>
      <c r="D86" s="30" t="s">
        <v>48</v>
      </c>
      <c r="E86" s="30">
        <v>800</v>
      </c>
      <c r="F86" s="30">
        <f t="shared" si="4"/>
        <v>13000</v>
      </c>
      <c r="G86" s="30">
        <f t="shared" si="5"/>
        <v>10400000</v>
      </c>
    </row>
  </sheetData>
  <phoneticPr fontId="0" type="noConversion"/>
  <pageMargins left="0.78740157499999996" right="0.78740157499999996" top="0.984251969" bottom="0.984251969" header="0.49212598499999999" footer="0.49212598499999999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estrutura">
                <anchor moveWithCells="1" sizeWithCells="1">
                  <from>
                    <xdr:col>9</xdr:col>
                    <xdr:colOff>314325</xdr:colOff>
                    <xdr:row>0</xdr:row>
                    <xdr:rowOff>9525</xdr:rowOff>
                  </from>
                  <to>
                    <xdr:col>12</xdr:col>
                    <xdr:colOff>133350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>
    <tabColor rgb="FF008000"/>
  </sheetPr>
  <dimension ref="A1:B12"/>
  <sheetViews>
    <sheetView showGridLines="0" zoomScaleNormal="100" workbookViewId="0">
      <selection activeCell="C4" sqref="C4"/>
    </sheetView>
  </sheetViews>
  <sheetFormatPr defaultRowHeight="12.75" x14ac:dyDescent="0.2"/>
  <cols>
    <col min="1" max="1" width="20.28515625" bestFit="1" customWidth="1"/>
    <col min="2" max="2" width="11.140625" bestFit="1" customWidth="1"/>
  </cols>
  <sheetData>
    <row r="1" spans="1:2" ht="25.5" x14ac:dyDescent="0.2">
      <c r="A1" s="12" t="s">
        <v>56</v>
      </c>
      <c r="B1" s="10" t="s">
        <v>63</v>
      </c>
    </row>
    <row r="2" spans="1:2" x14ac:dyDescent="0.2">
      <c r="A2" s="12" t="s">
        <v>57</v>
      </c>
      <c r="B2" s="10" t="s">
        <v>154</v>
      </c>
    </row>
    <row r="3" spans="1:2" x14ac:dyDescent="0.2">
      <c r="A3" s="12" t="s">
        <v>34</v>
      </c>
      <c r="B3" s="10" t="s">
        <v>147</v>
      </c>
    </row>
    <row r="4" spans="1:2" x14ac:dyDescent="0.2">
      <c r="A4" s="12" t="s">
        <v>58</v>
      </c>
      <c r="B4" s="10" t="s">
        <v>66</v>
      </c>
    </row>
    <row r="5" spans="1:2" x14ac:dyDescent="0.2">
      <c r="A5" s="12" t="s">
        <v>59</v>
      </c>
      <c r="B5" s="10" t="s">
        <v>71</v>
      </c>
    </row>
    <row r="6" spans="1:2" x14ac:dyDescent="0.2">
      <c r="A6" s="12" t="s">
        <v>60</v>
      </c>
      <c r="B6" s="10" t="s">
        <v>174</v>
      </c>
    </row>
    <row r="7" spans="1:2" x14ac:dyDescent="0.2">
      <c r="B7" s="10" t="s">
        <v>175</v>
      </c>
    </row>
    <row r="8" spans="1:2" x14ac:dyDescent="0.2">
      <c r="B8" s="11" t="s">
        <v>176</v>
      </c>
    </row>
    <row r="9" spans="1:2" x14ac:dyDescent="0.2">
      <c r="B9" s="11" t="s">
        <v>177</v>
      </c>
    </row>
    <row r="10" spans="1:2" x14ac:dyDescent="0.2">
      <c r="B10" s="11" t="s">
        <v>178</v>
      </c>
    </row>
    <row r="11" spans="1:2" x14ac:dyDescent="0.2">
      <c r="B11" s="11" t="s">
        <v>179</v>
      </c>
    </row>
    <row r="12" spans="1:2" x14ac:dyDescent="0.2">
      <c r="B12" s="11" t="s">
        <v>180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rgb="FF008000"/>
  </sheetPr>
  <dimension ref="A1:O67"/>
  <sheetViews>
    <sheetView showGridLines="0" workbookViewId="0"/>
  </sheetViews>
  <sheetFormatPr defaultColWidth="8.42578125" defaultRowHeight="15" customHeight="1" x14ac:dyDescent="0.2"/>
  <cols>
    <col min="1" max="1" width="8.140625" style="7" customWidth="1"/>
    <col min="2" max="2" width="15.28515625" style="6" bestFit="1" customWidth="1"/>
    <col min="3" max="3" width="12.85546875" style="6" customWidth="1"/>
    <col min="4" max="4" width="10.28515625" style="7" customWidth="1"/>
    <col min="5" max="5" width="10" style="7" customWidth="1"/>
    <col min="6" max="6" width="9.42578125" style="6" customWidth="1"/>
    <col min="7" max="8" width="12.85546875" style="6" bestFit="1" customWidth="1"/>
    <col min="9" max="9" width="9.7109375" style="6" customWidth="1"/>
    <col min="10" max="10" width="11.42578125" style="6" bestFit="1" customWidth="1"/>
    <col min="11" max="11" width="8.42578125" style="6" customWidth="1"/>
    <col min="12" max="12" width="10.5703125" style="6" customWidth="1"/>
    <col min="13" max="13" width="10.28515625" style="6" customWidth="1"/>
    <col min="14" max="15" width="8.42578125" style="5" customWidth="1"/>
    <col min="16" max="16384" width="8.42578125" style="6"/>
  </cols>
  <sheetData>
    <row r="1" spans="1:15" s="4" customFormat="1" ht="30.6" customHeight="1" x14ac:dyDescent="0.2">
      <c r="A1" s="13" t="s">
        <v>50</v>
      </c>
      <c r="B1" s="14" t="s">
        <v>49</v>
      </c>
      <c r="C1" s="14" t="s">
        <v>51</v>
      </c>
      <c r="D1" s="14" t="s">
        <v>52</v>
      </c>
      <c r="E1" s="14" t="s">
        <v>53</v>
      </c>
      <c r="F1" s="14" t="s">
        <v>54</v>
      </c>
      <c r="G1" s="14" t="s">
        <v>55</v>
      </c>
      <c r="H1" s="14" t="s">
        <v>56</v>
      </c>
      <c r="I1" s="14" t="s">
        <v>57</v>
      </c>
      <c r="J1" s="14" t="s">
        <v>34</v>
      </c>
      <c r="K1" s="14" t="s">
        <v>58</v>
      </c>
      <c r="L1" s="14" t="s">
        <v>59</v>
      </c>
      <c r="M1" s="14" t="s">
        <v>60</v>
      </c>
      <c r="N1" s="3"/>
      <c r="O1" s="3"/>
    </row>
    <row r="2" spans="1:15" ht="15" customHeight="1" x14ac:dyDescent="0.2">
      <c r="A2" s="15">
        <v>1</v>
      </c>
      <c r="B2" s="16" t="s">
        <v>61</v>
      </c>
      <c r="C2" s="16" t="s">
        <v>62</v>
      </c>
      <c r="D2" s="17">
        <v>37117</v>
      </c>
      <c r="E2" s="17">
        <v>37123</v>
      </c>
      <c r="F2" s="18">
        <v>6</v>
      </c>
      <c r="G2" s="15">
        <v>1</v>
      </c>
      <c r="H2" s="16" t="s">
        <v>63</v>
      </c>
      <c r="I2" s="19">
        <v>82.1</v>
      </c>
      <c r="J2" s="20">
        <v>492.59999999999997</v>
      </c>
      <c r="K2" s="21">
        <v>422</v>
      </c>
      <c r="L2" s="20">
        <v>49.26</v>
      </c>
      <c r="M2" s="20">
        <v>963.8599999999999</v>
      </c>
    </row>
    <row r="3" spans="1:15" ht="15" customHeight="1" x14ac:dyDescent="0.2">
      <c r="A3" s="15">
        <v>2</v>
      </c>
      <c r="B3" s="16" t="s">
        <v>64</v>
      </c>
      <c r="C3" s="16" t="s">
        <v>65</v>
      </c>
      <c r="D3" s="17">
        <v>36892</v>
      </c>
      <c r="E3" s="17">
        <v>36926</v>
      </c>
      <c r="F3" s="18">
        <v>34</v>
      </c>
      <c r="G3" s="15">
        <v>2</v>
      </c>
      <c r="H3" s="16" t="s">
        <v>66</v>
      </c>
      <c r="I3" s="19">
        <v>106.16</v>
      </c>
      <c r="J3" s="20">
        <v>3609.44</v>
      </c>
      <c r="K3" s="21">
        <v>88</v>
      </c>
      <c r="L3" s="20">
        <v>360.94400000000002</v>
      </c>
      <c r="M3" s="20">
        <v>4058.384</v>
      </c>
    </row>
    <row r="4" spans="1:15" ht="15" customHeight="1" x14ac:dyDescent="0.2">
      <c r="A4" s="15">
        <v>6</v>
      </c>
      <c r="B4" s="16" t="s">
        <v>67</v>
      </c>
      <c r="C4" s="16" t="s">
        <v>68</v>
      </c>
      <c r="D4" s="17">
        <v>37220</v>
      </c>
      <c r="E4" s="17">
        <v>37235</v>
      </c>
      <c r="F4" s="18">
        <v>15</v>
      </c>
      <c r="G4" s="15">
        <v>2</v>
      </c>
      <c r="H4" s="16" t="s">
        <v>66</v>
      </c>
      <c r="I4" s="19">
        <v>106.16</v>
      </c>
      <c r="J4" s="20">
        <v>1592.3999999999999</v>
      </c>
      <c r="K4" s="21">
        <v>489</v>
      </c>
      <c r="L4" s="20">
        <v>159.24</v>
      </c>
      <c r="M4" s="20">
        <v>2240.6399999999994</v>
      </c>
    </row>
    <row r="5" spans="1:15" ht="15" customHeight="1" x14ac:dyDescent="0.2">
      <c r="A5" s="15">
        <v>7</v>
      </c>
      <c r="B5" s="16" t="s">
        <v>69</v>
      </c>
      <c r="C5" s="16" t="s">
        <v>70</v>
      </c>
      <c r="D5" s="17">
        <v>36983</v>
      </c>
      <c r="E5" s="17">
        <v>36987</v>
      </c>
      <c r="F5" s="18">
        <v>4</v>
      </c>
      <c r="G5" s="15">
        <v>3</v>
      </c>
      <c r="H5" s="16" t="s">
        <v>71</v>
      </c>
      <c r="I5" s="19">
        <v>114.3</v>
      </c>
      <c r="J5" s="20">
        <v>457.2</v>
      </c>
      <c r="K5" s="21">
        <v>261</v>
      </c>
      <c r="L5" s="20">
        <v>45.72</v>
      </c>
      <c r="M5" s="20">
        <v>763.92000000000007</v>
      </c>
    </row>
    <row r="6" spans="1:15" ht="15" customHeight="1" x14ac:dyDescent="0.2">
      <c r="A6" s="15">
        <v>9</v>
      </c>
      <c r="B6" s="16" t="s">
        <v>72</v>
      </c>
      <c r="C6" s="16" t="s">
        <v>73</v>
      </c>
      <c r="D6" s="17">
        <v>36983</v>
      </c>
      <c r="E6" s="17">
        <v>36986</v>
      </c>
      <c r="F6" s="18">
        <v>3</v>
      </c>
      <c r="G6" s="15">
        <v>3</v>
      </c>
      <c r="H6" s="16" t="s">
        <v>71</v>
      </c>
      <c r="I6" s="19">
        <v>114.3</v>
      </c>
      <c r="J6" s="20">
        <v>342.9</v>
      </c>
      <c r="K6" s="21">
        <v>92</v>
      </c>
      <c r="L6" s="20">
        <v>34.29</v>
      </c>
      <c r="M6" s="20">
        <v>469.19</v>
      </c>
    </row>
    <row r="7" spans="1:15" ht="15" customHeight="1" x14ac:dyDescent="0.2">
      <c r="A7" s="15">
        <v>10</v>
      </c>
      <c r="B7" s="16" t="s">
        <v>74</v>
      </c>
      <c r="C7" s="16" t="s">
        <v>75</v>
      </c>
      <c r="D7" s="17">
        <v>36953</v>
      </c>
      <c r="E7" s="17">
        <v>36954</v>
      </c>
      <c r="F7" s="18">
        <v>1</v>
      </c>
      <c r="G7" s="15">
        <v>3</v>
      </c>
      <c r="H7" s="16" t="s">
        <v>71</v>
      </c>
      <c r="I7" s="19">
        <v>114.3</v>
      </c>
      <c r="J7" s="20">
        <v>114.3</v>
      </c>
      <c r="K7" s="21">
        <v>231</v>
      </c>
      <c r="L7" s="20">
        <v>11.43</v>
      </c>
      <c r="M7" s="20">
        <v>356.73</v>
      </c>
    </row>
    <row r="8" spans="1:15" ht="15" customHeight="1" x14ac:dyDescent="0.2">
      <c r="A8" s="15">
        <v>11</v>
      </c>
      <c r="B8" s="16" t="s">
        <v>76</v>
      </c>
      <c r="C8" s="16" t="s">
        <v>68</v>
      </c>
      <c r="D8" s="17">
        <v>37014</v>
      </c>
      <c r="E8" s="17">
        <v>37018</v>
      </c>
      <c r="F8" s="18">
        <v>4</v>
      </c>
      <c r="G8" s="15">
        <v>3</v>
      </c>
      <c r="H8" s="16" t="s">
        <v>71</v>
      </c>
      <c r="I8" s="19">
        <v>114.3</v>
      </c>
      <c r="J8" s="20">
        <v>457.2</v>
      </c>
      <c r="K8" s="21">
        <v>133</v>
      </c>
      <c r="L8" s="20">
        <v>45.72</v>
      </c>
      <c r="M8" s="20">
        <v>635.92000000000007</v>
      </c>
    </row>
    <row r="9" spans="1:15" ht="15" customHeight="1" x14ac:dyDescent="0.2">
      <c r="A9" s="15">
        <v>12</v>
      </c>
      <c r="B9" s="16" t="s">
        <v>77</v>
      </c>
      <c r="C9" s="16" t="s">
        <v>75</v>
      </c>
      <c r="D9" s="17">
        <v>36984</v>
      </c>
      <c r="E9" s="17">
        <v>37016</v>
      </c>
      <c r="F9" s="18">
        <v>32</v>
      </c>
      <c r="G9" s="15">
        <v>3</v>
      </c>
      <c r="H9" s="16" t="s">
        <v>71</v>
      </c>
      <c r="I9" s="19">
        <v>114.3</v>
      </c>
      <c r="J9" s="20">
        <v>3657.6</v>
      </c>
      <c r="K9" s="21">
        <v>220</v>
      </c>
      <c r="L9" s="20">
        <v>365.76</v>
      </c>
      <c r="M9" s="20">
        <v>4243.3599999999997</v>
      </c>
    </row>
    <row r="10" spans="1:15" ht="15" customHeight="1" x14ac:dyDescent="0.2">
      <c r="A10" s="15">
        <v>13</v>
      </c>
      <c r="B10" s="16" t="s">
        <v>77</v>
      </c>
      <c r="C10" s="16" t="s">
        <v>78</v>
      </c>
      <c r="D10" s="17">
        <v>36985</v>
      </c>
      <c r="E10" s="17">
        <v>36995</v>
      </c>
      <c r="F10" s="18">
        <v>10</v>
      </c>
      <c r="G10" s="15">
        <v>3</v>
      </c>
      <c r="H10" s="16" t="s">
        <v>71</v>
      </c>
      <c r="I10" s="19">
        <v>114.3</v>
      </c>
      <c r="J10" s="20">
        <v>1143</v>
      </c>
      <c r="K10" s="21">
        <v>372</v>
      </c>
      <c r="L10" s="20">
        <v>114.30000000000001</v>
      </c>
      <c r="M10" s="20">
        <v>1629.3</v>
      </c>
    </row>
    <row r="11" spans="1:15" ht="15" customHeight="1" x14ac:dyDescent="0.2">
      <c r="A11" s="15">
        <v>14</v>
      </c>
      <c r="B11" s="16" t="s">
        <v>77</v>
      </c>
      <c r="C11" s="16" t="s">
        <v>79</v>
      </c>
      <c r="D11" s="17">
        <v>36985</v>
      </c>
      <c r="E11" s="17">
        <v>36990</v>
      </c>
      <c r="F11" s="18">
        <v>5</v>
      </c>
      <c r="G11" s="15">
        <v>3</v>
      </c>
      <c r="H11" s="16" t="s">
        <v>71</v>
      </c>
      <c r="I11" s="19">
        <v>114.3</v>
      </c>
      <c r="J11" s="20">
        <v>571.5</v>
      </c>
      <c r="K11" s="21">
        <v>448</v>
      </c>
      <c r="L11" s="20">
        <v>57.150000000000006</v>
      </c>
      <c r="M11" s="20">
        <v>1076.6500000000001</v>
      </c>
    </row>
    <row r="12" spans="1:15" ht="15" customHeight="1" x14ac:dyDescent="0.2">
      <c r="A12" s="15">
        <v>16</v>
      </c>
      <c r="B12" s="16" t="s">
        <v>80</v>
      </c>
      <c r="C12" s="16" t="s">
        <v>81</v>
      </c>
      <c r="D12" s="17">
        <v>36952</v>
      </c>
      <c r="E12" s="17">
        <v>36994</v>
      </c>
      <c r="F12" s="18">
        <v>42</v>
      </c>
      <c r="G12" s="15">
        <v>3</v>
      </c>
      <c r="H12" s="16" t="s">
        <v>71</v>
      </c>
      <c r="I12" s="19">
        <v>114.3</v>
      </c>
      <c r="J12" s="20">
        <v>4800.5999999999995</v>
      </c>
      <c r="K12" s="21">
        <v>483</v>
      </c>
      <c r="L12" s="20">
        <v>480.05999999999995</v>
      </c>
      <c r="M12" s="20">
        <v>5763.66</v>
      </c>
    </row>
    <row r="13" spans="1:15" ht="15" customHeight="1" x14ac:dyDescent="0.2">
      <c r="A13" s="15">
        <v>17</v>
      </c>
      <c r="B13" s="16" t="s">
        <v>82</v>
      </c>
      <c r="C13" s="16" t="s">
        <v>83</v>
      </c>
      <c r="D13" s="17">
        <v>37167</v>
      </c>
      <c r="E13" s="17">
        <v>37168</v>
      </c>
      <c r="F13" s="18">
        <v>1</v>
      </c>
      <c r="G13" s="15">
        <v>3</v>
      </c>
      <c r="H13" s="16" t="s">
        <v>71</v>
      </c>
      <c r="I13" s="19">
        <v>114.3</v>
      </c>
      <c r="J13" s="20">
        <v>114.3</v>
      </c>
      <c r="K13" s="21">
        <v>133</v>
      </c>
      <c r="L13" s="20">
        <v>11.43</v>
      </c>
      <c r="M13" s="20">
        <v>258.73</v>
      </c>
    </row>
    <row r="14" spans="1:15" ht="15" customHeight="1" x14ac:dyDescent="0.2">
      <c r="A14" s="15">
        <v>18</v>
      </c>
      <c r="B14" s="16" t="s">
        <v>84</v>
      </c>
      <c r="C14" s="16" t="s">
        <v>85</v>
      </c>
      <c r="D14" s="17">
        <v>37159</v>
      </c>
      <c r="E14" s="17">
        <v>37164</v>
      </c>
      <c r="F14" s="18">
        <v>5</v>
      </c>
      <c r="G14" s="15">
        <v>3</v>
      </c>
      <c r="H14" s="16" t="s">
        <v>71</v>
      </c>
      <c r="I14" s="19">
        <v>114.3</v>
      </c>
      <c r="J14" s="20">
        <v>571.5</v>
      </c>
      <c r="K14" s="21">
        <v>267</v>
      </c>
      <c r="L14" s="20">
        <v>57.150000000000006</v>
      </c>
      <c r="M14" s="20">
        <v>895.65</v>
      </c>
    </row>
    <row r="15" spans="1:15" ht="15" customHeight="1" x14ac:dyDescent="0.2">
      <c r="A15" s="15">
        <v>19</v>
      </c>
      <c r="B15" s="16" t="s">
        <v>86</v>
      </c>
      <c r="C15" s="16" t="s">
        <v>87</v>
      </c>
      <c r="D15" s="17">
        <v>36896</v>
      </c>
      <c r="E15" s="17">
        <v>36903</v>
      </c>
      <c r="F15" s="18">
        <v>7</v>
      </c>
      <c r="G15" s="15">
        <v>3</v>
      </c>
      <c r="H15" s="16" t="s">
        <v>71</v>
      </c>
      <c r="I15" s="19">
        <v>114.3</v>
      </c>
      <c r="J15" s="20">
        <v>800.1</v>
      </c>
      <c r="K15" s="21">
        <v>257</v>
      </c>
      <c r="L15" s="20">
        <v>80.010000000000005</v>
      </c>
      <c r="M15" s="20">
        <v>1137.1099999999999</v>
      </c>
    </row>
    <row r="16" spans="1:15" ht="15" customHeight="1" x14ac:dyDescent="0.2">
      <c r="A16" s="15">
        <v>20</v>
      </c>
      <c r="B16" s="16" t="s">
        <v>64</v>
      </c>
      <c r="C16" s="16" t="s">
        <v>68</v>
      </c>
      <c r="D16" s="17">
        <v>36896</v>
      </c>
      <c r="E16" s="17">
        <v>36899</v>
      </c>
      <c r="F16" s="18">
        <v>3</v>
      </c>
      <c r="G16" s="15">
        <v>2</v>
      </c>
      <c r="H16" s="16" t="s">
        <v>66</v>
      </c>
      <c r="I16" s="19">
        <v>106.16</v>
      </c>
      <c r="J16" s="20">
        <v>318.48</v>
      </c>
      <c r="K16" s="21">
        <v>295</v>
      </c>
      <c r="L16" s="20">
        <v>31.848000000000003</v>
      </c>
      <c r="M16" s="20">
        <v>645.32799999999997</v>
      </c>
    </row>
    <row r="17" spans="1:13" ht="15" customHeight="1" x14ac:dyDescent="0.2">
      <c r="A17" s="15">
        <v>21</v>
      </c>
      <c r="B17" s="16" t="s">
        <v>74</v>
      </c>
      <c r="C17" s="16" t="s">
        <v>88</v>
      </c>
      <c r="D17" s="17">
        <v>36955</v>
      </c>
      <c r="E17" s="17">
        <v>36986</v>
      </c>
      <c r="F17" s="18">
        <v>31</v>
      </c>
      <c r="G17" s="15">
        <v>2</v>
      </c>
      <c r="H17" s="16" t="s">
        <v>66</v>
      </c>
      <c r="I17" s="19">
        <v>106.16</v>
      </c>
      <c r="J17" s="20">
        <v>3290.96</v>
      </c>
      <c r="K17" s="21">
        <v>149</v>
      </c>
      <c r="L17" s="20">
        <v>329.096</v>
      </c>
      <c r="M17" s="20">
        <v>3769.056</v>
      </c>
    </row>
    <row r="18" spans="1:13" ht="15" customHeight="1" x14ac:dyDescent="0.2">
      <c r="A18" s="15">
        <v>22</v>
      </c>
      <c r="B18" s="16" t="s">
        <v>89</v>
      </c>
      <c r="C18" s="16" t="s">
        <v>90</v>
      </c>
      <c r="D18" s="17">
        <v>37016</v>
      </c>
      <c r="E18" s="17">
        <v>37018</v>
      </c>
      <c r="F18" s="18">
        <v>2</v>
      </c>
      <c r="G18" s="15">
        <v>2</v>
      </c>
      <c r="H18" s="16" t="s">
        <v>66</v>
      </c>
      <c r="I18" s="19">
        <v>106.16</v>
      </c>
      <c r="J18" s="20">
        <v>212.32</v>
      </c>
      <c r="K18" s="21">
        <v>325</v>
      </c>
      <c r="L18" s="20">
        <v>21.231999999999999</v>
      </c>
      <c r="M18" s="20">
        <v>558.55199999999991</v>
      </c>
    </row>
    <row r="19" spans="1:13" ht="15" customHeight="1" x14ac:dyDescent="0.2">
      <c r="A19" s="15">
        <v>23</v>
      </c>
      <c r="B19" s="16" t="s">
        <v>89</v>
      </c>
      <c r="C19" s="16" t="s">
        <v>91</v>
      </c>
      <c r="D19" s="17">
        <v>37016</v>
      </c>
      <c r="E19" s="17">
        <v>37020</v>
      </c>
      <c r="F19" s="18">
        <v>4</v>
      </c>
      <c r="G19" s="15">
        <v>2</v>
      </c>
      <c r="H19" s="16" t="s">
        <v>66</v>
      </c>
      <c r="I19" s="19">
        <v>106.16</v>
      </c>
      <c r="J19" s="20">
        <v>424.64</v>
      </c>
      <c r="K19" s="21">
        <v>464</v>
      </c>
      <c r="L19" s="20">
        <v>42.463999999999999</v>
      </c>
      <c r="M19" s="20">
        <v>931.10400000000004</v>
      </c>
    </row>
    <row r="20" spans="1:13" ht="15" customHeight="1" x14ac:dyDescent="0.2">
      <c r="A20" s="15">
        <v>24</v>
      </c>
      <c r="B20" s="16" t="s">
        <v>89</v>
      </c>
      <c r="C20" s="16" t="s">
        <v>92</v>
      </c>
      <c r="D20" s="17">
        <v>37016</v>
      </c>
      <c r="E20" s="17">
        <v>37017</v>
      </c>
      <c r="F20" s="18">
        <v>1</v>
      </c>
      <c r="G20" s="15">
        <v>2</v>
      </c>
      <c r="H20" s="16" t="s">
        <v>66</v>
      </c>
      <c r="I20" s="19">
        <v>106.16</v>
      </c>
      <c r="J20" s="20">
        <v>106.16</v>
      </c>
      <c r="K20" s="21">
        <v>234</v>
      </c>
      <c r="L20" s="20">
        <v>10.616</v>
      </c>
      <c r="M20" s="20">
        <v>350.77599999999995</v>
      </c>
    </row>
    <row r="21" spans="1:13" ht="15" customHeight="1" x14ac:dyDescent="0.2">
      <c r="A21" s="15">
        <v>25</v>
      </c>
      <c r="B21" s="16" t="s">
        <v>93</v>
      </c>
      <c r="C21" s="16" t="s">
        <v>94</v>
      </c>
      <c r="D21" s="17">
        <v>36986</v>
      </c>
      <c r="E21" s="17">
        <v>36988</v>
      </c>
      <c r="F21" s="18">
        <v>2</v>
      </c>
      <c r="G21" s="15">
        <v>2</v>
      </c>
      <c r="H21" s="16" t="s">
        <v>66</v>
      </c>
      <c r="I21" s="19">
        <v>106.16</v>
      </c>
      <c r="J21" s="20">
        <v>212.32</v>
      </c>
      <c r="K21" s="21">
        <v>481</v>
      </c>
      <c r="L21" s="20">
        <v>21.231999999999999</v>
      </c>
      <c r="M21" s="20">
        <v>714.55199999999991</v>
      </c>
    </row>
    <row r="22" spans="1:13" ht="15" customHeight="1" x14ac:dyDescent="0.2">
      <c r="A22" s="15">
        <v>26</v>
      </c>
      <c r="B22" s="16" t="s">
        <v>95</v>
      </c>
      <c r="C22" s="16" t="s">
        <v>96</v>
      </c>
      <c r="D22" s="17">
        <v>36986</v>
      </c>
      <c r="E22" s="17">
        <v>36988</v>
      </c>
      <c r="F22" s="18">
        <v>2</v>
      </c>
      <c r="G22" s="15">
        <v>2</v>
      </c>
      <c r="H22" s="16" t="s">
        <v>66</v>
      </c>
      <c r="I22" s="19">
        <v>106.16</v>
      </c>
      <c r="J22" s="20">
        <v>212.32</v>
      </c>
      <c r="K22" s="21">
        <v>307</v>
      </c>
      <c r="L22" s="20">
        <v>21.231999999999999</v>
      </c>
      <c r="M22" s="20">
        <v>540.55199999999991</v>
      </c>
    </row>
    <row r="23" spans="1:13" ht="15" customHeight="1" x14ac:dyDescent="0.2">
      <c r="A23" s="15">
        <v>34</v>
      </c>
      <c r="B23" s="16" t="s">
        <v>97</v>
      </c>
      <c r="C23" s="16" t="s">
        <v>98</v>
      </c>
      <c r="D23" s="17">
        <v>36896</v>
      </c>
      <c r="E23" s="17">
        <v>36898</v>
      </c>
      <c r="F23" s="18">
        <v>2</v>
      </c>
      <c r="G23" s="15">
        <v>1</v>
      </c>
      <c r="H23" s="16" t="s">
        <v>63</v>
      </c>
      <c r="I23" s="19">
        <v>82.1</v>
      </c>
      <c r="J23" s="20">
        <v>164.2</v>
      </c>
      <c r="K23" s="21">
        <v>84</v>
      </c>
      <c r="L23" s="20">
        <v>16.419999999999998</v>
      </c>
      <c r="M23" s="20">
        <v>264.62</v>
      </c>
    </row>
    <row r="24" spans="1:13" ht="15" customHeight="1" x14ac:dyDescent="0.2">
      <c r="A24" s="15">
        <v>35</v>
      </c>
      <c r="B24" s="16" t="s">
        <v>99</v>
      </c>
      <c r="C24" s="16" t="s">
        <v>100</v>
      </c>
      <c r="D24" s="17">
        <v>36927</v>
      </c>
      <c r="E24" s="17">
        <v>36928</v>
      </c>
      <c r="F24" s="18">
        <v>1</v>
      </c>
      <c r="G24" s="15">
        <v>1</v>
      </c>
      <c r="H24" s="16" t="s">
        <v>63</v>
      </c>
      <c r="I24" s="19">
        <v>82.1</v>
      </c>
      <c r="J24" s="20">
        <v>82.1</v>
      </c>
      <c r="K24" s="21">
        <v>57</v>
      </c>
      <c r="L24" s="20">
        <v>8.2099999999999991</v>
      </c>
      <c r="M24" s="20">
        <v>147.31</v>
      </c>
    </row>
    <row r="25" spans="1:13" ht="15" customHeight="1" x14ac:dyDescent="0.2">
      <c r="A25" s="15">
        <v>37</v>
      </c>
      <c r="B25" s="16" t="s">
        <v>101</v>
      </c>
      <c r="C25" s="16" t="s">
        <v>102</v>
      </c>
      <c r="D25" s="17">
        <v>36957</v>
      </c>
      <c r="E25" s="17">
        <v>36962</v>
      </c>
      <c r="F25" s="18">
        <v>5</v>
      </c>
      <c r="G25" s="15">
        <v>1</v>
      </c>
      <c r="H25" s="16" t="s">
        <v>63</v>
      </c>
      <c r="I25" s="19">
        <v>82.1</v>
      </c>
      <c r="J25" s="20">
        <v>410.5</v>
      </c>
      <c r="K25" s="21">
        <v>349</v>
      </c>
      <c r="L25" s="20">
        <v>41.050000000000004</v>
      </c>
      <c r="M25" s="20">
        <v>800.55</v>
      </c>
    </row>
    <row r="26" spans="1:13" ht="15" customHeight="1" x14ac:dyDescent="0.2">
      <c r="A26" s="15">
        <v>39</v>
      </c>
      <c r="B26" s="16" t="s">
        <v>103</v>
      </c>
      <c r="C26" s="16" t="s">
        <v>90</v>
      </c>
      <c r="D26" s="17">
        <v>37018</v>
      </c>
      <c r="E26" s="17">
        <v>37020</v>
      </c>
      <c r="F26" s="18">
        <v>2</v>
      </c>
      <c r="G26" s="15">
        <v>3</v>
      </c>
      <c r="H26" s="16" t="s">
        <v>71</v>
      </c>
      <c r="I26" s="19">
        <v>114.3</v>
      </c>
      <c r="J26" s="20">
        <v>228.6</v>
      </c>
      <c r="K26" s="21">
        <v>124</v>
      </c>
      <c r="L26" s="20">
        <v>22.86</v>
      </c>
      <c r="M26" s="20">
        <v>375.46000000000004</v>
      </c>
    </row>
    <row r="27" spans="1:13" ht="15" customHeight="1" x14ac:dyDescent="0.2">
      <c r="A27" s="15">
        <v>42</v>
      </c>
      <c r="B27" s="16" t="s">
        <v>104</v>
      </c>
      <c r="C27" s="16" t="s">
        <v>105</v>
      </c>
      <c r="D27" s="17">
        <v>36899</v>
      </c>
      <c r="E27" s="17">
        <v>36931</v>
      </c>
      <c r="F27" s="18">
        <v>32</v>
      </c>
      <c r="G27" s="15">
        <v>3</v>
      </c>
      <c r="H27" s="16" t="s">
        <v>71</v>
      </c>
      <c r="I27" s="19">
        <v>114.3</v>
      </c>
      <c r="J27" s="20">
        <v>3657.6</v>
      </c>
      <c r="K27" s="21">
        <v>267</v>
      </c>
      <c r="L27" s="20">
        <v>365.76</v>
      </c>
      <c r="M27" s="20">
        <v>4290.3599999999997</v>
      </c>
    </row>
    <row r="28" spans="1:13" ht="15" customHeight="1" x14ac:dyDescent="0.2">
      <c r="A28" s="15">
        <v>43</v>
      </c>
      <c r="B28" s="16" t="s">
        <v>106</v>
      </c>
      <c r="C28" s="16" t="s">
        <v>107</v>
      </c>
      <c r="D28" s="17">
        <v>36899</v>
      </c>
      <c r="E28" s="17">
        <v>36900</v>
      </c>
      <c r="F28" s="18">
        <v>1</v>
      </c>
      <c r="G28" s="15">
        <v>3</v>
      </c>
      <c r="H28" s="16" t="s">
        <v>71</v>
      </c>
      <c r="I28" s="19">
        <v>114.3</v>
      </c>
      <c r="J28" s="20">
        <v>114.3</v>
      </c>
      <c r="K28" s="21">
        <v>184</v>
      </c>
      <c r="L28" s="20">
        <v>11.43</v>
      </c>
      <c r="M28" s="20">
        <v>309.73</v>
      </c>
    </row>
    <row r="29" spans="1:13" ht="15" customHeight="1" x14ac:dyDescent="0.2">
      <c r="A29" s="15">
        <v>44</v>
      </c>
      <c r="B29" s="16" t="s">
        <v>108</v>
      </c>
      <c r="C29" s="16" t="s">
        <v>109</v>
      </c>
      <c r="D29" s="17">
        <v>36989</v>
      </c>
      <c r="E29" s="17">
        <v>36990</v>
      </c>
      <c r="F29" s="18">
        <v>1</v>
      </c>
      <c r="G29" s="15">
        <v>2</v>
      </c>
      <c r="H29" s="16" t="s">
        <v>66</v>
      </c>
      <c r="I29" s="19">
        <v>106.16</v>
      </c>
      <c r="J29" s="20">
        <v>106.16</v>
      </c>
      <c r="K29" s="21">
        <v>202</v>
      </c>
      <c r="L29" s="20">
        <v>10.616</v>
      </c>
      <c r="M29" s="20">
        <v>318.77599999999995</v>
      </c>
    </row>
    <row r="30" spans="1:13" ht="15" customHeight="1" x14ac:dyDescent="0.2">
      <c r="A30" s="15">
        <v>47</v>
      </c>
      <c r="B30" s="16" t="s">
        <v>110</v>
      </c>
      <c r="C30" s="16" t="s">
        <v>111</v>
      </c>
      <c r="D30" s="17">
        <v>36964</v>
      </c>
      <c r="E30" s="17">
        <v>36966</v>
      </c>
      <c r="F30" s="18">
        <v>2</v>
      </c>
      <c r="G30" s="15">
        <v>2</v>
      </c>
      <c r="H30" s="16" t="s">
        <v>66</v>
      </c>
      <c r="I30" s="19">
        <v>106.16</v>
      </c>
      <c r="J30" s="20">
        <v>212.32</v>
      </c>
      <c r="K30" s="21">
        <v>443</v>
      </c>
      <c r="L30" s="20">
        <v>21.231999999999999</v>
      </c>
      <c r="M30" s="20">
        <v>676.55199999999991</v>
      </c>
    </row>
    <row r="31" spans="1:13" ht="15" customHeight="1" x14ac:dyDescent="0.2">
      <c r="A31" s="15">
        <v>48</v>
      </c>
      <c r="B31" s="16" t="s">
        <v>101</v>
      </c>
      <c r="C31" s="16" t="s">
        <v>112</v>
      </c>
      <c r="D31" s="17">
        <v>36959</v>
      </c>
      <c r="E31" s="17">
        <v>36967</v>
      </c>
      <c r="F31" s="18">
        <v>8</v>
      </c>
      <c r="G31" s="15">
        <v>2</v>
      </c>
      <c r="H31" s="16" t="s">
        <v>66</v>
      </c>
      <c r="I31" s="19">
        <v>106.16</v>
      </c>
      <c r="J31" s="20">
        <v>849.28</v>
      </c>
      <c r="K31" s="21">
        <v>478</v>
      </c>
      <c r="L31" s="20">
        <v>84.927999999999997</v>
      </c>
      <c r="M31" s="20">
        <v>1412.2080000000001</v>
      </c>
    </row>
    <row r="32" spans="1:13" ht="15" customHeight="1" x14ac:dyDescent="0.2">
      <c r="A32" s="15">
        <v>49</v>
      </c>
      <c r="B32" s="16" t="s">
        <v>103</v>
      </c>
      <c r="C32" s="16" t="s">
        <v>113</v>
      </c>
      <c r="D32" s="17">
        <v>37020</v>
      </c>
      <c r="E32" s="17">
        <v>37082</v>
      </c>
      <c r="F32" s="18">
        <v>62</v>
      </c>
      <c r="G32" s="15">
        <v>2</v>
      </c>
      <c r="H32" s="16" t="s">
        <v>66</v>
      </c>
      <c r="I32" s="19">
        <v>106.16</v>
      </c>
      <c r="J32" s="20">
        <v>6581.92</v>
      </c>
      <c r="K32" s="21">
        <v>221</v>
      </c>
      <c r="L32" s="20">
        <v>658.19200000000001</v>
      </c>
      <c r="M32" s="20">
        <v>7461.1120000000001</v>
      </c>
    </row>
    <row r="33" spans="1:13" ht="15" customHeight="1" x14ac:dyDescent="0.2">
      <c r="A33" s="15">
        <v>52</v>
      </c>
      <c r="B33" s="16" t="s">
        <v>114</v>
      </c>
      <c r="C33" s="16" t="s">
        <v>75</v>
      </c>
      <c r="D33" s="17">
        <v>36900</v>
      </c>
      <c r="E33" s="17">
        <v>36904</v>
      </c>
      <c r="F33" s="18">
        <v>4</v>
      </c>
      <c r="G33" s="15">
        <v>2</v>
      </c>
      <c r="H33" s="16" t="s">
        <v>66</v>
      </c>
      <c r="I33" s="19">
        <v>106.16</v>
      </c>
      <c r="J33" s="20">
        <v>424.64</v>
      </c>
      <c r="K33" s="21">
        <v>347</v>
      </c>
      <c r="L33" s="20">
        <v>42.463999999999999</v>
      </c>
      <c r="M33" s="20">
        <v>814.10400000000004</v>
      </c>
    </row>
    <row r="34" spans="1:13" ht="15" customHeight="1" x14ac:dyDescent="0.2">
      <c r="A34" s="15">
        <v>53</v>
      </c>
      <c r="B34" s="16" t="s">
        <v>101</v>
      </c>
      <c r="C34" s="16" t="s">
        <v>115</v>
      </c>
      <c r="D34" s="17">
        <v>36960</v>
      </c>
      <c r="E34" s="17">
        <v>36967</v>
      </c>
      <c r="F34" s="18">
        <v>7</v>
      </c>
      <c r="G34" s="15">
        <v>2</v>
      </c>
      <c r="H34" s="16" t="s">
        <v>66</v>
      </c>
      <c r="I34" s="19">
        <v>106.16</v>
      </c>
      <c r="J34" s="20">
        <v>743.12</v>
      </c>
      <c r="K34" s="21">
        <v>420</v>
      </c>
      <c r="L34" s="20">
        <v>74.311999999999998</v>
      </c>
      <c r="M34" s="20">
        <v>1237.4319999999998</v>
      </c>
    </row>
    <row r="35" spans="1:13" ht="15" customHeight="1" x14ac:dyDescent="0.2">
      <c r="A35" s="15">
        <v>54</v>
      </c>
      <c r="B35" s="16" t="s">
        <v>116</v>
      </c>
      <c r="C35" s="16" t="s">
        <v>117</v>
      </c>
      <c r="D35" s="17">
        <v>36960</v>
      </c>
      <c r="E35" s="17">
        <v>36962</v>
      </c>
      <c r="F35" s="18">
        <v>2</v>
      </c>
      <c r="G35" s="15">
        <v>2</v>
      </c>
      <c r="H35" s="16" t="s">
        <v>66</v>
      </c>
      <c r="I35" s="19">
        <v>106.16</v>
      </c>
      <c r="J35" s="20">
        <v>212.32</v>
      </c>
      <c r="K35" s="21">
        <v>463</v>
      </c>
      <c r="L35" s="20">
        <v>21.231999999999999</v>
      </c>
      <c r="M35" s="20">
        <v>696.55199999999991</v>
      </c>
    </row>
    <row r="36" spans="1:13" ht="15" customHeight="1" x14ac:dyDescent="0.2">
      <c r="A36" s="15">
        <v>55</v>
      </c>
      <c r="B36" s="16" t="s">
        <v>114</v>
      </c>
      <c r="C36" s="16" t="s">
        <v>118</v>
      </c>
      <c r="D36" s="17">
        <v>36902</v>
      </c>
      <c r="E36" s="17">
        <v>36908</v>
      </c>
      <c r="F36" s="18">
        <v>6</v>
      </c>
      <c r="G36" s="15">
        <v>2</v>
      </c>
      <c r="H36" s="16" t="s">
        <v>66</v>
      </c>
      <c r="I36" s="19">
        <v>106.16</v>
      </c>
      <c r="J36" s="20">
        <v>636.96</v>
      </c>
      <c r="K36" s="21">
        <v>298</v>
      </c>
      <c r="L36" s="20">
        <v>63.696000000000005</v>
      </c>
      <c r="M36" s="20">
        <v>998.65600000000006</v>
      </c>
    </row>
    <row r="37" spans="1:13" ht="15" customHeight="1" x14ac:dyDescent="0.2">
      <c r="A37" s="15">
        <v>58</v>
      </c>
      <c r="B37" s="16" t="s">
        <v>119</v>
      </c>
      <c r="C37" s="16" t="s">
        <v>120</v>
      </c>
      <c r="D37" s="17">
        <v>35767</v>
      </c>
      <c r="E37" s="17">
        <v>35781</v>
      </c>
      <c r="F37" s="18">
        <v>14</v>
      </c>
      <c r="G37" s="15">
        <v>2</v>
      </c>
      <c r="H37" s="16" t="s">
        <v>66</v>
      </c>
      <c r="I37" s="19">
        <v>106.16</v>
      </c>
      <c r="J37" s="20">
        <v>1486.24</v>
      </c>
      <c r="K37" s="21">
        <v>414</v>
      </c>
      <c r="L37" s="20">
        <v>148.624</v>
      </c>
      <c r="M37" s="20">
        <v>2048.864</v>
      </c>
    </row>
    <row r="38" spans="1:13" ht="15" customHeight="1" x14ac:dyDescent="0.2">
      <c r="A38" s="15">
        <v>59</v>
      </c>
      <c r="B38" s="16" t="s">
        <v>121</v>
      </c>
      <c r="C38" s="16" t="s">
        <v>122</v>
      </c>
      <c r="D38" s="17">
        <v>36962</v>
      </c>
      <c r="E38" s="17">
        <v>36964</v>
      </c>
      <c r="F38" s="18">
        <v>2</v>
      </c>
      <c r="G38" s="15">
        <v>2</v>
      </c>
      <c r="H38" s="16" t="s">
        <v>66</v>
      </c>
      <c r="I38" s="19">
        <v>106.16</v>
      </c>
      <c r="J38" s="20">
        <v>212.32</v>
      </c>
      <c r="K38" s="21">
        <v>318</v>
      </c>
      <c r="L38" s="20">
        <v>21.231999999999999</v>
      </c>
      <c r="M38" s="20">
        <v>551.55199999999991</v>
      </c>
    </row>
    <row r="39" spans="1:13" ht="15" customHeight="1" x14ac:dyDescent="0.2">
      <c r="A39" s="15">
        <v>60</v>
      </c>
      <c r="B39" s="16" t="s">
        <v>123</v>
      </c>
      <c r="C39" s="16" t="s">
        <v>124</v>
      </c>
      <c r="D39" s="17">
        <v>36962</v>
      </c>
      <c r="E39" s="17">
        <v>36972</v>
      </c>
      <c r="F39" s="18">
        <v>10</v>
      </c>
      <c r="G39" s="15">
        <v>2</v>
      </c>
      <c r="H39" s="16" t="s">
        <v>66</v>
      </c>
      <c r="I39" s="19">
        <v>106.16</v>
      </c>
      <c r="J39" s="20">
        <v>1061.5999999999999</v>
      </c>
      <c r="K39" s="21">
        <v>215</v>
      </c>
      <c r="L39" s="20">
        <v>106.16</v>
      </c>
      <c r="M39" s="20">
        <v>1382.76</v>
      </c>
    </row>
    <row r="40" spans="1:13" ht="15" customHeight="1" x14ac:dyDescent="0.2">
      <c r="A40" s="15">
        <v>61</v>
      </c>
      <c r="B40" s="16" t="s">
        <v>125</v>
      </c>
      <c r="C40" s="16" t="s">
        <v>126</v>
      </c>
      <c r="D40" s="17">
        <v>37023</v>
      </c>
      <c r="E40" s="17">
        <v>37024</v>
      </c>
      <c r="F40" s="18">
        <v>1</v>
      </c>
      <c r="G40" s="15">
        <v>2</v>
      </c>
      <c r="H40" s="16" t="s">
        <v>66</v>
      </c>
      <c r="I40" s="19">
        <v>106.16</v>
      </c>
      <c r="J40" s="20">
        <v>106.16</v>
      </c>
      <c r="K40" s="21">
        <v>120</v>
      </c>
      <c r="L40" s="20">
        <v>10.616</v>
      </c>
      <c r="M40" s="20">
        <v>236.77600000000001</v>
      </c>
    </row>
    <row r="41" spans="1:13" ht="15" customHeight="1" x14ac:dyDescent="0.2">
      <c r="A41" s="15">
        <v>62</v>
      </c>
      <c r="B41" s="16" t="s">
        <v>127</v>
      </c>
      <c r="C41" s="16" t="s">
        <v>128</v>
      </c>
      <c r="D41" s="17">
        <v>36993</v>
      </c>
      <c r="E41" s="17">
        <v>36995</v>
      </c>
      <c r="F41" s="18">
        <v>2</v>
      </c>
      <c r="G41" s="15">
        <v>2</v>
      </c>
      <c r="H41" s="16" t="s">
        <v>66</v>
      </c>
      <c r="I41" s="19">
        <v>106.16</v>
      </c>
      <c r="J41" s="20">
        <v>212.32</v>
      </c>
      <c r="K41" s="21">
        <v>93</v>
      </c>
      <c r="L41" s="20">
        <v>21.231999999999999</v>
      </c>
      <c r="M41" s="20">
        <v>326.55200000000002</v>
      </c>
    </row>
    <row r="42" spans="1:13" ht="15" customHeight="1" x14ac:dyDescent="0.2">
      <c r="A42" s="15">
        <v>67</v>
      </c>
      <c r="B42" s="16" t="s">
        <v>129</v>
      </c>
      <c r="C42" s="16" t="s">
        <v>130</v>
      </c>
      <c r="D42" s="17">
        <v>36904</v>
      </c>
      <c r="E42" s="17">
        <v>36907</v>
      </c>
      <c r="F42" s="18">
        <v>3</v>
      </c>
      <c r="G42" s="15">
        <v>1</v>
      </c>
      <c r="H42" s="16" t="s">
        <v>63</v>
      </c>
      <c r="I42" s="19">
        <v>82.1</v>
      </c>
      <c r="J42" s="20">
        <v>246.29999999999998</v>
      </c>
      <c r="K42" s="21">
        <v>357</v>
      </c>
      <c r="L42" s="20">
        <v>24.63</v>
      </c>
      <c r="M42" s="20">
        <v>627.92999999999995</v>
      </c>
    </row>
    <row r="43" spans="1:13" ht="15" customHeight="1" x14ac:dyDescent="0.2">
      <c r="A43" s="15">
        <v>70</v>
      </c>
      <c r="B43" s="16" t="s">
        <v>131</v>
      </c>
      <c r="C43" s="16" t="s">
        <v>132</v>
      </c>
      <c r="D43" s="17">
        <v>36912</v>
      </c>
      <c r="E43" s="17">
        <v>36914</v>
      </c>
      <c r="F43" s="18">
        <v>2</v>
      </c>
      <c r="G43" s="15">
        <v>2</v>
      </c>
      <c r="H43" s="16" t="s">
        <v>66</v>
      </c>
      <c r="I43" s="19">
        <v>106.16</v>
      </c>
      <c r="J43" s="20">
        <v>212.32</v>
      </c>
      <c r="K43" s="21">
        <v>60</v>
      </c>
      <c r="L43" s="20">
        <v>21.231999999999999</v>
      </c>
      <c r="M43" s="20">
        <v>293.55200000000002</v>
      </c>
    </row>
    <row r="44" spans="1:13" ht="15" customHeight="1" x14ac:dyDescent="0.2">
      <c r="A44" s="15">
        <v>71</v>
      </c>
      <c r="B44" s="16" t="s">
        <v>133</v>
      </c>
      <c r="C44" s="16" t="s">
        <v>100</v>
      </c>
      <c r="D44" s="17">
        <v>36971</v>
      </c>
      <c r="E44" s="17">
        <v>36972</v>
      </c>
      <c r="F44" s="18">
        <v>1</v>
      </c>
      <c r="G44" s="15">
        <v>2</v>
      </c>
      <c r="H44" s="16" t="s">
        <v>66</v>
      </c>
      <c r="I44" s="19">
        <v>106.16</v>
      </c>
      <c r="J44" s="20">
        <v>106.16</v>
      </c>
      <c r="K44" s="21">
        <v>429</v>
      </c>
      <c r="L44" s="20">
        <v>10.616</v>
      </c>
      <c r="M44" s="20">
        <v>545.77599999999995</v>
      </c>
    </row>
    <row r="45" spans="1:13" ht="15" customHeight="1" x14ac:dyDescent="0.2">
      <c r="A45" s="15">
        <v>72</v>
      </c>
      <c r="B45" s="16" t="s">
        <v>127</v>
      </c>
      <c r="C45" s="16" t="s">
        <v>134</v>
      </c>
      <c r="D45" s="17">
        <v>37002</v>
      </c>
      <c r="E45" s="17">
        <v>37007</v>
      </c>
      <c r="F45" s="18">
        <v>5</v>
      </c>
      <c r="G45" s="15">
        <v>2</v>
      </c>
      <c r="H45" s="16" t="s">
        <v>66</v>
      </c>
      <c r="I45" s="19">
        <v>106.16</v>
      </c>
      <c r="J45" s="20">
        <v>530.79999999999995</v>
      </c>
      <c r="K45" s="21">
        <v>203</v>
      </c>
      <c r="L45" s="20">
        <v>53.08</v>
      </c>
      <c r="M45" s="20">
        <v>786.88</v>
      </c>
    </row>
    <row r="46" spans="1:13" ht="15" customHeight="1" x14ac:dyDescent="0.2">
      <c r="A46" s="15">
        <v>78</v>
      </c>
      <c r="B46" s="16" t="s">
        <v>135</v>
      </c>
      <c r="C46" s="16" t="s">
        <v>136</v>
      </c>
      <c r="D46" s="17">
        <v>37067</v>
      </c>
      <c r="E46" s="17">
        <v>37069</v>
      </c>
      <c r="F46" s="18">
        <v>2</v>
      </c>
      <c r="G46" s="15">
        <v>3</v>
      </c>
      <c r="H46" s="16" t="s">
        <v>71</v>
      </c>
      <c r="I46" s="19">
        <v>114.3</v>
      </c>
      <c r="J46" s="20">
        <v>228.6</v>
      </c>
      <c r="K46" s="21">
        <v>137</v>
      </c>
      <c r="L46" s="20">
        <v>22.86</v>
      </c>
      <c r="M46" s="20">
        <v>388.46000000000004</v>
      </c>
    </row>
    <row r="47" spans="1:13" ht="15" customHeight="1" x14ac:dyDescent="0.2">
      <c r="A47" s="15">
        <v>79</v>
      </c>
      <c r="B47" s="16" t="s">
        <v>137</v>
      </c>
      <c r="C47" s="16" t="s">
        <v>100</v>
      </c>
      <c r="D47" s="17">
        <v>36913</v>
      </c>
      <c r="E47" s="17">
        <v>36918</v>
      </c>
      <c r="F47" s="18">
        <v>5</v>
      </c>
      <c r="G47" s="15">
        <v>3</v>
      </c>
      <c r="H47" s="16" t="s">
        <v>71</v>
      </c>
      <c r="I47" s="19">
        <v>114.3</v>
      </c>
      <c r="J47" s="20">
        <v>571.5</v>
      </c>
      <c r="K47" s="21">
        <v>393</v>
      </c>
      <c r="L47" s="20">
        <v>57.150000000000006</v>
      </c>
      <c r="M47" s="20">
        <v>1021.65</v>
      </c>
    </row>
    <row r="48" spans="1:13" ht="15" customHeight="1" x14ac:dyDescent="0.2">
      <c r="A48" s="15">
        <v>80</v>
      </c>
      <c r="B48" s="16" t="s">
        <v>138</v>
      </c>
      <c r="C48" s="16" t="s">
        <v>139</v>
      </c>
      <c r="D48" s="17">
        <v>36972</v>
      </c>
      <c r="E48" s="17">
        <v>36978</v>
      </c>
      <c r="F48" s="18">
        <v>6</v>
      </c>
      <c r="G48" s="15">
        <v>3</v>
      </c>
      <c r="H48" s="16" t="s">
        <v>71</v>
      </c>
      <c r="I48" s="19">
        <v>114.3</v>
      </c>
      <c r="J48" s="20">
        <v>685.8</v>
      </c>
      <c r="K48" s="21">
        <v>415</v>
      </c>
      <c r="L48" s="20">
        <v>68.58</v>
      </c>
      <c r="M48" s="20">
        <v>1169.3799999999999</v>
      </c>
    </row>
    <row r="49" spans="1:13" ht="15" customHeight="1" x14ac:dyDescent="0.2">
      <c r="A49" s="15">
        <v>84</v>
      </c>
      <c r="B49" s="16" t="s">
        <v>140</v>
      </c>
      <c r="C49" s="16" t="s">
        <v>141</v>
      </c>
      <c r="D49" s="17">
        <v>37105</v>
      </c>
      <c r="E49" s="17">
        <v>37108</v>
      </c>
      <c r="F49" s="18">
        <v>3</v>
      </c>
      <c r="G49" s="15">
        <v>3</v>
      </c>
      <c r="H49" s="16" t="s">
        <v>71</v>
      </c>
      <c r="I49" s="19">
        <v>114.3</v>
      </c>
      <c r="J49" s="20">
        <v>342.9</v>
      </c>
      <c r="K49" s="21">
        <v>66</v>
      </c>
      <c r="L49" s="20">
        <v>34.29</v>
      </c>
      <c r="M49" s="20">
        <v>443.19</v>
      </c>
    </row>
    <row r="50" spans="1:13" ht="15" customHeight="1" x14ac:dyDescent="0.2">
      <c r="A50" s="15">
        <v>85</v>
      </c>
      <c r="B50" s="16" t="s">
        <v>142</v>
      </c>
      <c r="C50" s="16" t="s">
        <v>143</v>
      </c>
      <c r="D50" s="17">
        <v>36914</v>
      </c>
      <c r="E50" s="17">
        <v>36917</v>
      </c>
      <c r="F50" s="18">
        <v>3</v>
      </c>
      <c r="G50" s="15">
        <v>3</v>
      </c>
      <c r="H50" s="16" t="s">
        <v>71</v>
      </c>
      <c r="I50" s="19">
        <v>114.3</v>
      </c>
      <c r="J50" s="20">
        <v>342.9</v>
      </c>
      <c r="K50" s="21">
        <v>306</v>
      </c>
      <c r="L50" s="20">
        <v>34.29</v>
      </c>
      <c r="M50" s="20">
        <v>683.18999999999994</v>
      </c>
    </row>
    <row r="51" spans="1:13" ht="15" customHeight="1" x14ac:dyDescent="0.2">
      <c r="A51" s="15">
        <v>86</v>
      </c>
      <c r="B51" s="16" t="s">
        <v>144</v>
      </c>
      <c r="C51" s="16" t="s">
        <v>120</v>
      </c>
      <c r="D51" s="17">
        <v>36914</v>
      </c>
      <c r="E51" s="17">
        <v>36920</v>
      </c>
      <c r="F51" s="18">
        <v>6</v>
      </c>
      <c r="G51" s="15">
        <v>3</v>
      </c>
      <c r="H51" s="16" t="s">
        <v>71</v>
      </c>
      <c r="I51" s="19">
        <v>114.3</v>
      </c>
      <c r="J51" s="20">
        <v>685.8</v>
      </c>
      <c r="K51" s="21">
        <v>111</v>
      </c>
      <c r="L51" s="20">
        <v>68.58</v>
      </c>
      <c r="M51" s="20">
        <v>865.38</v>
      </c>
    </row>
    <row r="52" spans="1:13" ht="15" customHeight="1" x14ac:dyDescent="0.2">
      <c r="A52" s="15">
        <v>87</v>
      </c>
      <c r="B52" s="16" t="s">
        <v>145</v>
      </c>
      <c r="C52" s="16" t="s">
        <v>146</v>
      </c>
      <c r="D52" s="17">
        <v>36914</v>
      </c>
      <c r="E52" s="17">
        <v>36915</v>
      </c>
      <c r="F52" s="18">
        <v>1</v>
      </c>
      <c r="G52" s="15">
        <v>4</v>
      </c>
      <c r="H52" s="16" t="s">
        <v>147</v>
      </c>
      <c r="I52" s="19">
        <v>226.34</v>
      </c>
      <c r="J52" s="20">
        <v>226.34</v>
      </c>
      <c r="K52" s="21">
        <v>160</v>
      </c>
      <c r="L52" s="20">
        <v>22.634</v>
      </c>
      <c r="M52" s="20">
        <v>408.97400000000005</v>
      </c>
    </row>
    <row r="53" spans="1:13" ht="15" customHeight="1" x14ac:dyDescent="0.2">
      <c r="A53" s="15">
        <v>88</v>
      </c>
      <c r="B53" s="16" t="s">
        <v>148</v>
      </c>
      <c r="C53" s="16" t="s">
        <v>149</v>
      </c>
      <c r="D53" s="17">
        <v>37004</v>
      </c>
      <c r="E53" s="17">
        <v>37009</v>
      </c>
      <c r="F53" s="18">
        <v>5</v>
      </c>
      <c r="G53" s="15">
        <v>4</v>
      </c>
      <c r="H53" s="16" t="s">
        <v>147</v>
      </c>
      <c r="I53" s="19">
        <v>226.34</v>
      </c>
      <c r="J53" s="20">
        <v>1131.7</v>
      </c>
      <c r="K53" s="21">
        <v>437</v>
      </c>
      <c r="L53" s="20">
        <v>113.17000000000002</v>
      </c>
      <c r="M53" s="20">
        <v>1681.8700000000001</v>
      </c>
    </row>
    <row r="54" spans="1:13" ht="15" customHeight="1" x14ac:dyDescent="0.2">
      <c r="A54" s="15">
        <v>91</v>
      </c>
      <c r="B54" s="16" t="s">
        <v>150</v>
      </c>
      <c r="C54" s="16" t="s">
        <v>65</v>
      </c>
      <c r="D54" s="17">
        <v>37067</v>
      </c>
      <c r="E54" s="17">
        <v>37078</v>
      </c>
      <c r="F54" s="18">
        <v>11</v>
      </c>
      <c r="G54" s="15">
        <v>4</v>
      </c>
      <c r="H54" s="16" t="s">
        <v>147</v>
      </c>
      <c r="I54" s="19">
        <v>226.34</v>
      </c>
      <c r="J54" s="20">
        <v>2489.7400000000002</v>
      </c>
      <c r="K54" s="21">
        <v>480</v>
      </c>
      <c r="L54" s="20">
        <v>248.97400000000005</v>
      </c>
      <c r="M54" s="20">
        <v>3218.7140000000004</v>
      </c>
    </row>
    <row r="55" spans="1:13" ht="15" customHeight="1" x14ac:dyDescent="0.2">
      <c r="A55" s="15">
        <v>92</v>
      </c>
      <c r="B55" s="16" t="s">
        <v>151</v>
      </c>
      <c r="C55" s="16" t="s">
        <v>152</v>
      </c>
      <c r="D55" s="17">
        <v>36911</v>
      </c>
      <c r="E55" s="17">
        <v>36943</v>
      </c>
      <c r="F55" s="18">
        <v>32</v>
      </c>
      <c r="G55" s="15">
        <v>4</v>
      </c>
      <c r="H55" s="16" t="s">
        <v>147</v>
      </c>
      <c r="I55" s="19">
        <v>226.34</v>
      </c>
      <c r="J55" s="20">
        <v>7242.88</v>
      </c>
      <c r="K55" s="21">
        <v>492</v>
      </c>
      <c r="L55" s="20">
        <v>724.28800000000001</v>
      </c>
      <c r="M55" s="20">
        <v>8459.1679999999997</v>
      </c>
    </row>
    <row r="56" spans="1:13" ht="15" customHeight="1" x14ac:dyDescent="0.2">
      <c r="A56" s="15">
        <v>93</v>
      </c>
      <c r="B56" s="16" t="s">
        <v>153</v>
      </c>
      <c r="C56" s="16" t="s">
        <v>91</v>
      </c>
      <c r="D56" s="17">
        <v>37035</v>
      </c>
      <c r="E56" s="17">
        <v>37038</v>
      </c>
      <c r="F56" s="18">
        <v>3</v>
      </c>
      <c r="G56" s="15">
        <v>5</v>
      </c>
      <c r="H56" s="16" t="s">
        <v>154</v>
      </c>
      <c r="I56" s="19">
        <v>489.52075206595998</v>
      </c>
      <c r="J56" s="20">
        <v>1468.5622561978798</v>
      </c>
      <c r="K56" s="21">
        <v>259</v>
      </c>
      <c r="L56" s="20">
        <v>146.85622561978798</v>
      </c>
      <c r="M56" s="20">
        <v>1874.4184818176677</v>
      </c>
    </row>
    <row r="57" spans="1:13" ht="15" customHeight="1" x14ac:dyDescent="0.2">
      <c r="A57" s="15">
        <v>94</v>
      </c>
      <c r="B57" s="16" t="s">
        <v>155</v>
      </c>
      <c r="C57" s="16" t="s">
        <v>156</v>
      </c>
      <c r="D57" s="17">
        <v>37035</v>
      </c>
      <c r="E57" s="17">
        <v>37040</v>
      </c>
      <c r="F57" s="18">
        <v>5</v>
      </c>
      <c r="G57" s="15">
        <v>5</v>
      </c>
      <c r="H57" s="16" t="s">
        <v>154</v>
      </c>
      <c r="I57" s="19">
        <v>489.52075206595998</v>
      </c>
      <c r="J57" s="20">
        <v>2447.6037603298</v>
      </c>
      <c r="K57" s="21">
        <v>24</v>
      </c>
      <c r="L57" s="20">
        <v>244.76037603298002</v>
      </c>
      <c r="M57" s="20">
        <v>2716.3641363627798</v>
      </c>
    </row>
    <row r="58" spans="1:13" ht="15" customHeight="1" x14ac:dyDescent="0.2">
      <c r="A58" s="15">
        <v>96</v>
      </c>
      <c r="B58" s="16" t="s">
        <v>157</v>
      </c>
      <c r="C58" s="16" t="s">
        <v>158</v>
      </c>
      <c r="D58" s="17">
        <v>37005</v>
      </c>
      <c r="E58" s="17">
        <v>37008</v>
      </c>
      <c r="F58" s="18">
        <v>3</v>
      </c>
      <c r="G58" s="15">
        <v>5</v>
      </c>
      <c r="H58" s="16" t="s">
        <v>154</v>
      </c>
      <c r="I58" s="19">
        <v>489.52075206595998</v>
      </c>
      <c r="J58" s="20">
        <v>1468.5622561978798</v>
      </c>
      <c r="K58" s="21">
        <v>71</v>
      </c>
      <c r="L58" s="20">
        <v>146.85622561978798</v>
      </c>
      <c r="M58" s="20">
        <v>1686.4184818176677</v>
      </c>
    </row>
    <row r="59" spans="1:13" ht="15" customHeight="1" x14ac:dyDescent="0.2">
      <c r="A59" s="15">
        <v>97</v>
      </c>
      <c r="B59" s="16" t="s">
        <v>159</v>
      </c>
      <c r="C59" s="16" t="s">
        <v>160</v>
      </c>
      <c r="D59" s="17">
        <v>37005</v>
      </c>
      <c r="E59" s="17">
        <v>37010</v>
      </c>
      <c r="F59" s="18">
        <v>5</v>
      </c>
      <c r="G59" s="15">
        <v>4</v>
      </c>
      <c r="H59" s="16" t="s">
        <v>147</v>
      </c>
      <c r="I59" s="19">
        <v>226.34</v>
      </c>
      <c r="J59" s="20">
        <v>1131.7</v>
      </c>
      <c r="K59" s="21">
        <v>146</v>
      </c>
      <c r="L59" s="20">
        <v>113.17000000000002</v>
      </c>
      <c r="M59" s="20">
        <v>1390.8700000000001</v>
      </c>
    </row>
    <row r="60" spans="1:13" ht="15" customHeight="1" x14ac:dyDescent="0.2">
      <c r="A60" s="15">
        <v>102</v>
      </c>
      <c r="B60" s="16" t="s">
        <v>161</v>
      </c>
      <c r="C60" s="16" t="s">
        <v>162</v>
      </c>
      <c r="D60" s="17">
        <v>37220</v>
      </c>
      <c r="E60" s="17">
        <v>37229</v>
      </c>
      <c r="F60" s="18">
        <v>9</v>
      </c>
      <c r="G60" s="15">
        <v>3</v>
      </c>
      <c r="H60" s="16" t="s">
        <v>71</v>
      </c>
      <c r="I60" s="19">
        <v>114.3</v>
      </c>
      <c r="J60" s="20">
        <v>1028.7</v>
      </c>
      <c r="K60" s="21">
        <v>320</v>
      </c>
      <c r="L60" s="20">
        <v>102.87</v>
      </c>
      <c r="M60" s="20">
        <v>1451.5700000000002</v>
      </c>
    </row>
    <row r="61" spans="1:13" ht="15" customHeight="1" x14ac:dyDescent="0.2">
      <c r="A61" s="15">
        <v>103</v>
      </c>
      <c r="B61" s="16" t="s">
        <v>163</v>
      </c>
      <c r="C61" s="16" t="s">
        <v>164</v>
      </c>
      <c r="D61" s="17">
        <v>37067</v>
      </c>
      <c r="E61" s="17">
        <v>37075</v>
      </c>
      <c r="F61" s="18">
        <v>8</v>
      </c>
      <c r="G61" s="15">
        <v>2</v>
      </c>
      <c r="H61" s="16" t="s">
        <v>66</v>
      </c>
      <c r="I61" s="19">
        <v>106.16</v>
      </c>
      <c r="J61" s="20">
        <v>849.28</v>
      </c>
      <c r="K61" s="21">
        <v>167</v>
      </c>
      <c r="L61" s="20">
        <v>84.927999999999997</v>
      </c>
      <c r="M61" s="20">
        <v>1101.2080000000001</v>
      </c>
    </row>
    <row r="62" spans="1:13" ht="15" customHeight="1" x14ac:dyDescent="0.2">
      <c r="A62" s="15">
        <v>104</v>
      </c>
      <c r="B62" s="16" t="s">
        <v>165</v>
      </c>
      <c r="C62" s="16" t="s">
        <v>68</v>
      </c>
      <c r="D62" s="17">
        <v>36916</v>
      </c>
      <c r="E62" s="17">
        <v>36921</v>
      </c>
      <c r="F62" s="18">
        <v>5</v>
      </c>
      <c r="G62" s="15">
        <v>2</v>
      </c>
      <c r="H62" s="16" t="s">
        <v>66</v>
      </c>
      <c r="I62" s="19">
        <v>106.16</v>
      </c>
      <c r="J62" s="20">
        <v>530.79999999999995</v>
      </c>
      <c r="K62" s="21">
        <v>115</v>
      </c>
      <c r="L62" s="20">
        <v>53.08</v>
      </c>
      <c r="M62" s="20">
        <v>698.88</v>
      </c>
    </row>
    <row r="63" spans="1:13" ht="15" customHeight="1" x14ac:dyDescent="0.2">
      <c r="A63" s="15">
        <v>105</v>
      </c>
      <c r="B63" s="16" t="s">
        <v>166</v>
      </c>
      <c r="C63" s="16" t="s">
        <v>100</v>
      </c>
      <c r="D63" s="17">
        <v>36975</v>
      </c>
      <c r="E63" s="17">
        <v>36976</v>
      </c>
      <c r="F63" s="18">
        <v>1</v>
      </c>
      <c r="G63" s="15">
        <v>1</v>
      </c>
      <c r="H63" s="16" t="s">
        <v>63</v>
      </c>
      <c r="I63" s="19">
        <v>82.1</v>
      </c>
      <c r="J63" s="20">
        <v>82.1</v>
      </c>
      <c r="K63" s="21">
        <v>399</v>
      </c>
      <c r="L63" s="20">
        <v>8.2099999999999991</v>
      </c>
      <c r="M63" s="20">
        <v>489.31</v>
      </c>
    </row>
    <row r="64" spans="1:13" ht="15" customHeight="1" x14ac:dyDescent="0.2">
      <c r="A64" s="15">
        <v>106</v>
      </c>
      <c r="B64" s="16" t="s">
        <v>167</v>
      </c>
      <c r="C64" s="16" t="s">
        <v>168</v>
      </c>
      <c r="D64" s="17">
        <v>36975</v>
      </c>
      <c r="E64" s="17">
        <v>36980</v>
      </c>
      <c r="F64" s="18">
        <v>5</v>
      </c>
      <c r="G64" s="15">
        <v>1</v>
      </c>
      <c r="H64" s="16" t="s">
        <v>63</v>
      </c>
      <c r="I64" s="19">
        <v>82.1</v>
      </c>
      <c r="J64" s="20">
        <v>410.5</v>
      </c>
      <c r="K64" s="21">
        <v>346</v>
      </c>
      <c r="L64" s="20">
        <v>41.050000000000004</v>
      </c>
      <c r="M64" s="20">
        <v>797.55</v>
      </c>
    </row>
    <row r="65" spans="1:13" ht="15" customHeight="1" x14ac:dyDescent="0.2">
      <c r="A65" s="15">
        <v>107</v>
      </c>
      <c r="B65" s="16" t="s">
        <v>169</v>
      </c>
      <c r="C65" s="16" t="s">
        <v>170</v>
      </c>
      <c r="D65" s="17">
        <v>37006</v>
      </c>
      <c r="E65" s="17">
        <v>37007</v>
      </c>
      <c r="F65" s="18">
        <v>1</v>
      </c>
      <c r="G65" s="15">
        <v>1</v>
      </c>
      <c r="H65" s="16" t="s">
        <v>63</v>
      </c>
      <c r="I65" s="19">
        <v>82.1</v>
      </c>
      <c r="J65" s="20">
        <v>82.1</v>
      </c>
      <c r="K65" s="21">
        <v>424</v>
      </c>
      <c r="L65" s="20">
        <v>8.2099999999999991</v>
      </c>
      <c r="M65" s="20">
        <v>514.31000000000006</v>
      </c>
    </row>
    <row r="66" spans="1:13" ht="15" customHeight="1" x14ac:dyDescent="0.2">
      <c r="A66" s="15">
        <v>112</v>
      </c>
      <c r="B66" s="16" t="s">
        <v>171</v>
      </c>
      <c r="C66" s="16" t="s">
        <v>172</v>
      </c>
      <c r="D66" s="17">
        <v>37008</v>
      </c>
      <c r="E66" s="17">
        <v>37009</v>
      </c>
      <c r="F66" s="18">
        <v>1</v>
      </c>
      <c r="G66" s="15">
        <v>3</v>
      </c>
      <c r="H66" s="16" t="s">
        <v>71</v>
      </c>
      <c r="I66" s="19">
        <v>114.3</v>
      </c>
      <c r="J66" s="20">
        <v>114.3</v>
      </c>
      <c r="K66" s="21">
        <v>39</v>
      </c>
      <c r="L66" s="20">
        <v>11.43</v>
      </c>
      <c r="M66" s="20">
        <v>164.73000000000002</v>
      </c>
    </row>
    <row r="67" spans="1:13" ht="15" customHeight="1" x14ac:dyDescent="0.2">
      <c r="A67" s="15">
        <v>115</v>
      </c>
      <c r="B67" s="16" t="s">
        <v>77</v>
      </c>
      <c r="C67" s="16" t="s">
        <v>173</v>
      </c>
      <c r="D67" s="17">
        <v>36984</v>
      </c>
      <c r="E67" s="17">
        <v>37011</v>
      </c>
      <c r="F67" s="18">
        <v>27</v>
      </c>
      <c r="G67" s="15">
        <v>5</v>
      </c>
      <c r="H67" s="16" t="s">
        <v>154</v>
      </c>
      <c r="I67" s="19">
        <v>489.52075206595998</v>
      </c>
      <c r="J67" s="20">
        <v>13217.06030578092</v>
      </c>
      <c r="K67" s="21">
        <v>175</v>
      </c>
      <c r="L67" s="20">
        <v>1321.7060305780922</v>
      </c>
      <c r="M67" s="20">
        <v>14713.766336359013</v>
      </c>
    </row>
  </sheetData>
  <conditionalFormatting sqref="J2:M67">
    <cfRule type="cellIs" dxfId="0" priority="1" stopIfTrue="1" operator="equal">
      <formula>"ERRO"</formula>
    </cfRule>
  </conditionalFormatting>
  <printOptions horizontalCentered="1" gridLinesSet="0"/>
  <pageMargins left="0" right="0" top="0.78740157480314998" bottom="0.98425196850393704" header="0.511811023622047" footer="0.511811023622047"/>
  <pageSetup paperSize="9" orientation="landscape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>
    <tabColor theme="9" tint="-0.249977111117893"/>
  </sheetPr>
  <dimension ref="A1:M26"/>
  <sheetViews>
    <sheetView showGridLines="0" tabSelected="1" zoomScaleNormal="100" workbookViewId="0">
      <selection activeCell="C1" sqref="C1"/>
    </sheetView>
  </sheetViews>
  <sheetFormatPr defaultRowHeight="12.75" x14ac:dyDescent="0.2"/>
  <cols>
    <col min="1" max="1" width="8" bestFit="1" customWidth="1"/>
    <col min="2" max="2" width="15.5703125" bestFit="1" customWidth="1"/>
    <col min="3" max="3" width="11.5703125" bestFit="1" customWidth="1"/>
    <col min="4" max="5" width="8.140625" bestFit="1" customWidth="1"/>
    <col min="6" max="6" width="7.28515625" bestFit="1" customWidth="1"/>
    <col min="7" max="7" width="8.42578125" bestFit="1" customWidth="1"/>
    <col min="8" max="8" width="11.140625" bestFit="1" customWidth="1"/>
    <col min="9" max="9" width="8.7109375" bestFit="1" customWidth="1"/>
    <col min="10" max="10" width="10.28515625" bestFit="1" customWidth="1"/>
    <col min="11" max="11" width="7.7109375" bestFit="1" customWidth="1"/>
    <col min="12" max="12" width="9.28515625" bestFit="1" customWidth="1"/>
    <col min="13" max="13" width="10.28515625" bestFit="1" customWidth="1"/>
  </cols>
  <sheetData>
    <row r="1" spans="1:13" s="8" customFormat="1" ht="38.25" x14ac:dyDescent="0.25">
      <c r="C1" s="9" t="s">
        <v>56</v>
      </c>
    </row>
    <row r="2" spans="1:13" s="8" customFormat="1" ht="15" x14ac:dyDescent="0.25">
      <c r="C2" s="2" t="s">
        <v>177</v>
      </c>
    </row>
    <row r="3" spans="1:13" s="8" customFormat="1" ht="15" x14ac:dyDescent="0.25"/>
    <row r="4" spans="1:13" s="8" customFormat="1" ht="15" x14ac:dyDescent="0.25"/>
    <row r="5" spans="1:13" s="8" customFormat="1" ht="15" x14ac:dyDescent="0.25"/>
    <row r="6" spans="1:13" s="8" customFormat="1" ht="15" x14ac:dyDescent="0.25"/>
    <row r="7" spans="1:13" s="8" customFormat="1" ht="15" x14ac:dyDescent="0.25"/>
    <row r="8" spans="1:13" s="8" customFormat="1" ht="15" x14ac:dyDescent="0.25"/>
    <row r="9" spans="1:13" s="8" customFormat="1" ht="15" x14ac:dyDescent="0.25"/>
    <row r="10" spans="1:13" ht="38.25" x14ac:dyDescent="0.2">
      <c r="A10" s="35" t="s">
        <v>50</v>
      </c>
      <c r="B10" s="36" t="s">
        <v>49</v>
      </c>
      <c r="C10" s="36" t="s">
        <v>51</v>
      </c>
      <c r="D10" s="36" t="s">
        <v>52</v>
      </c>
      <c r="E10" s="36" t="s">
        <v>53</v>
      </c>
      <c r="F10" s="36" t="s">
        <v>54</v>
      </c>
      <c r="G10" s="36" t="s">
        <v>55</v>
      </c>
      <c r="H10" s="36" t="s">
        <v>56</v>
      </c>
      <c r="I10" s="36" t="s">
        <v>57</v>
      </c>
      <c r="J10" s="36" t="s">
        <v>34</v>
      </c>
      <c r="K10" s="36" t="s">
        <v>58</v>
      </c>
      <c r="L10" s="36" t="s">
        <v>59</v>
      </c>
      <c r="M10" s="36" t="s">
        <v>60</v>
      </c>
    </row>
    <row r="11" spans="1:13" x14ac:dyDescent="0.2">
      <c r="A11" s="37">
        <v>2</v>
      </c>
      <c r="B11" s="38" t="s">
        <v>64</v>
      </c>
      <c r="C11" s="38" t="s">
        <v>65</v>
      </c>
      <c r="D11" s="39">
        <v>36892</v>
      </c>
      <c r="E11" s="39">
        <v>36926</v>
      </c>
      <c r="F11" s="40">
        <v>34</v>
      </c>
      <c r="G11" s="37">
        <v>2</v>
      </c>
      <c r="H11" s="38" t="s">
        <v>66</v>
      </c>
      <c r="I11" s="41">
        <v>106.16</v>
      </c>
      <c r="J11" s="42">
        <v>3609.44</v>
      </c>
      <c r="K11" s="43">
        <v>88</v>
      </c>
      <c r="L11" s="42">
        <v>360.94400000000002</v>
      </c>
      <c r="M11" s="42">
        <v>4058.384</v>
      </c>
    </row>
    <row r="12" spans="1:13" x14ac:dyDescent="0.2">
      <c r="A12" s="37">
        <v>6</v>
      </c>
      <c r="B12" s="38" t="s">
        <v>67</v>
      </c>
      <c r="C12" s="38" t="s">
        <v>68</v>
      </c>
      <c r="D12" s="39">
        <v>37220</v>
      </c>
      <c r="E12" s="39">
        <v>37235</v>
      </c>
      <c r="F12" s="40">
        <v>15</v>
      </c>
      <c r="G12" s="37">
        <v>2</v>
      </c>
      <c r="H12" s="38" t="s">
        <v>66</v>
      </c>
      <c r="I12" s="41">
        <v>106.16</v>
      </c>
      <c r="J12" s="42">
        <v>1592.3999999999999</v>
      </c>
      <c r="K12" s="43">
        <v>489</v>
      </c>
      <c r="L12" s="42">
        <v>159.24</v>
      </c>
      <c r="M12" s="42">
        <v>2240.6399999999994</v>
      </c>
    </row>
    <row r="13" spans="1:13" x14ac:dyDescent="0.2">
      <c r="A13" s="37">
        <v>12</v>
      </c>
      <c r="B13" s="38" t="s">
        <v>77</v>
      </c>
      <c r="C13" s="38" t="s">
        <v>75</v>
      </c>
      <c r="D13" s="39">
        <v>36984</v>
      </c>
      <c r="E13" s="39">
        <v>37016</v>
      </c>
      <c r="F13" s="40">
        <v>32</v>
      </c>
      <c r="G13" s="37">
        <v>3</v>
      </c>
      <c r="H13" s="38" t="s">
        <v>71</v>
      </c>
      <c r="I13" s="41">
        <v>114.3</v>
      </c>
      <c r="J13" s="42">
        <v>3657.6</v>
      </c>
      <c r="K13" s="43">
        <v>220</v>
      </c>
      <c r="L13" s="42">
        <v>365.76</v>
      </c>
      <c r="M13" s="42">
        <v>4243.3599999999997</v>
      </c>
    </row>
    <row r="14" spans="1:13" x14ac:dyDescent="0.2">
      <c r="A14" s="37">
        <v>13</v>
      </c>
      <c r="B14" s="38" t="s">
        <v>77</v>
      </c>
      <c r="C14" s="38" t="s">
        <v>78</v>
      </c>
      <c r="D14" s="39">
        <v>36985</v>
      </c>
      <c r="E14" s="39">
        <v>36995</v>
      </c>
      <c r="F14" s="40">
        <v>10</v>
      </c>
      <c r="G14" s="37">
        <v>3</v>
      </c>
      <c r="H14" s="38" t="s">
        <v>71</v>
      </c>
      <c r="I14" s="41">
        <v>114.3</v>
      </c>
      <c r="J14" s="42">
        <v>1143</v>
      </c>
      <c r="K14" s="43">
        <v>372</v>
      </c>
      <c r="L14" s="42">
        <v>114.30000000000001</v>
      </c>
      <c r="M14" s="42">
        <v>1629.3</v>
      </c>
    </row>
    <row r="15" spans="1:13" x14ac:dyDescent="0.2">
      <c r="A15" s="37">
        <v>16</v>
      </c>
      <c r="B15" s="38" t="s">
        <v>80</v>
      </c>
      <c r="C15" s="38" t="s">
        <v>81</v>
      </c>
      <c r="D15" s="39">
        <v>36952</v>
      </c>
      <c r="E15" s="39">
        <v>36994</v>
      </c>
      <c r="F15" s="40">
        <v>42</v>
      </c>
      <c r="G15" s="37">
        <v>3</v>
      </c>
      <c r="H15" s="38" t="s">
        <v>71</v>
      </c>
      <c r="I15" s="41">
        <v>114.3</v>
      </c>
      <c r="J15" s="42">
        <v>4800.5999999999995</v>
      </c>
      <c r="K15" s="43">
        <v>483</v>
      </c>
      <c r="L15" s="42">
        <v>480.05999999999995</v>
      </c>
      <c r="M15" s="42">
        <v>5763.66</v>
      </c>
    </row>
    <row r="16" spans="1:13" x14ac:dyDescent="0.2">
      <c r="A16" s="37">
        <v>21</v>
      </c>
      <c r="B16" s="38" t="s">
        <v>74</v>
      </c>
      <c r="C16" s="38" t="s">
        <v>88</v>
      </c>
      <c r="D16" s="39">
        <v>36955</v>
      </c>
      <c r="E16" s="39">
        <v>36986</v>
      </c>
      <c r="F16" s="40">
        <v>31</v>
      </c>
      <c r="G16" s="37">
        <v>2</v>
      </c>
      <c r="H16" s="38" t="s">
        <v>66</v>
      </c>
      <c r="I16" s="41">
        <v>106.16</v>
      </c>
      <c r="J16" s="42">
        <v>3290.96</v>
      </c>
      <c r="K16" s="43">
        <v>149</v>
      </c>
      <c r="L16" s="42">
        <v>329.096</v>
      </c>
      <c r="M16" s="42">
        <v>3769.056</v>
      </c>
    </row>
    <row r="17" spans="1:13" x14ac:dyDescent="0.2">
      <c r="A17" s="37">
        <v>42</v>
      </c>
      <c r="B17" s="38" t="s">
        <v>104</v>
      </c>
      <c r="C17" s="38" t="s">
        <v>105</v>
      </c>
      <c r="D17" s="39">
        <v>36899</v>
      </c>
      <c r="E17" s="39">
        <v>36931</v>
      </c>
      <c r="F17" s="40">
        <v>32</v>
      </c>
      <c r="G17" s="37">
        <v>3</v>
      </c>
      <c r="H17" s="38" t="s">
        <v>71</v>
      </c>
      <c r="I17" s="41">
        <v>114.3</v>
      </c>
      <c r="J17" s="42">
        <v>3657.6</v>
      </c>
      <c r="K17" s="43">
        <v>267</v>
      </c>
      <c r="L17" s="42">
        <v>365.76</v>
      </c>
      <c r="M17" s="42">
        <v>4290.3599999999997</v>
      </c>
    </row>
    <row r="18" spans="1:13" x14ac:dyDescent="0.2">
      <c r="A18" s="37">
        <v>49</v>
      </c>
      <c r="B18" s="38" t="s">
        <v>103</v>
      </c>
      <c r="C18" s="38" t="s">
        <v>113</v>
      </c>
      <c r="D18" s="39">
        <v>37020</v>
      </c>
      <c r="E18" s="39">
        <v>37082</v>
      </c>
      <c r="F18" s="40">
        <v>62</v>
      </c>
      <c r="G18" s="37">
        <v>2</v>
      </c>
      <c r="H18" s="38" t="s">
        <v>66</v>
      </c>
      <c r="I18" s="41">
        <v>106.16</v>
      </c>
      <c r="J18" s="42">
        <v>6581.92</v>
      </c>
      <c r="K18" s="43">
        <v>221</v>
      </c>
      <c r="L18" s="42">
        <v>658.19200000000001</v>
      </c>
      <c r="M18" s="42">
        <v>7461.1120000000001</v>
      </c>
    </row>
    <row r="19" spans="1:13" x14ac:dyDescent="0.2">
      <c r="A19" s="37">
        <v>58</v>
      </c>
      <c r="B19" s="38" t="s">
        <v>119</v>
      </c>
      <c r="C19" s="38" t="s">
        <v>120</v>
      </c>
      <c r="D19" s="39">
        <v>35767</v>
      </c>
      <c r="E19" s="39">
        <v>35781</v>
      </c>
      <c r="F19" s="40">
        <v>14</v>
      </c>
      <c r="G19" s="37">
        <v>2</v>
      </c>
      <c r="H19" s="38" t="s">
        <v>66</v>
      </c>
      <c r="I19" s="41">
        <v>106.16</v>
      </c>
      <c r="J19" s="42">
        <v>1486.24</v>
      </c>
      <c r="K19" s="43">
        <v>414</v>
      </c>
      <c r="L19" s="42">
        <v>148.624</v>
      </c>
      <c r="M19" s="42">
        <v>2048.864</v>
      </c>
    </row>
    <row r="20" spans="1:13" x14ac:dyDescent="0.2">
      <c r="A20" s="37">
        <v>88</v>
      </c>
      <c r="B20" s="38" t="s">
        <v>148</v>
      </c>
      <c r="C20" s="38" t="s">
        <v>149</v>
      </c>
      <c r="D20" s="39">
        <v>37004</v>
      </c>
      <c r="E20" s="39">
        <v>37009</v>
      </c>
      <c r="F20" s="40">
        <v>5</v>
      </c>
      <c r="G20" s="37">
        <v>4</v>
      </c>
      <c r="H20" s="38" t="s">
        <v>147</v>
      </c>
      <c r="I20" s="41">
        <v>226.34</v>
      </c>
      <c r="J20" s="42">
        <v>1131.7</v>
      </c>
      <c r="K20" s="43">
        <v>437</v>
      </c>
      <c r="L20" s="42">
        <v>113.17000000000002</v>
      </c>
      <c r="M20" s="42">
        <v>1681.8700000000001</v>
      </c>
    </row>
    <row r="21" spans="1:13" x14ac:dyDescent="0.2">
      <c r="A21" s="37">
        <v>91</v>
      </c>
      <c r="B21" s="38" t="s">
        <v>150</v>
      </c>
      <c r="C21" s="38" t="s">
        <v>65</v>
      </c>
      <c r="D21" s="39">
        <v>37067</v>
      </c>
      <c r="E21" s="39">
        <v>37078</v>
      </c>
      <c r="F21" s="40">
        <v>11</v>
      </c>
      <c r="G21" s="37">
        <v>4</v>
      </c>
      <c r="H21" s="38" t="s">
        <v>147</v>
      </c>
      <c r="I21" s="41">
        <v>226.34</v>
      </c>
      <c r="J21" s="42">
        <v>2489.7400000000002</v>
      </c>
      <c r="K21" s="43">
        <v>480</v>
      </c>
      <c r="L21" s="42">
        <v>248.97400000000005</v>
      </c>
      <c r="M21" s="42">
        <v>3218.7140000000004</v>
      </c>
    </row>
    <row r="22" spans="1:13" x14ac:dyDescent="0.2">
      <c r="A22" s="37">
        <v>92</v>
      </c>
      <c r="B22" s="38" t="s">
        <v>151</v>
      </c>
      <c r="C22" s="38" t="s">
        <v>152</v>
      </c>
      <c r="D22" s="39">
        <v>36911</v>
      </c>
      <c r="E22" s="39">
        <v>36943</v>
      </c>
      <c r="F22" s="40">
        <v>32</v>
      </c>
      <c r="G22" s="37">
        <v>4</v>
      </c>
      <c r="H22" s="38" t="s">
        <v>147</v>
      </c>
      <c r="I22" s="41">
        <v>226.34</v>
      </c>
      <c r="J22" s="42">
        <v>7242.88</v>
      </c>
      <c r="K22" s="43">
        <v>492</v>
      </c>
      <c r="L22" s="42">
        <v>724.28800000000001</v>
      </c>
      <c r="M22" s="42">
        <v>8459.1679999999997</v>
      </c>
    </row>
    <row r="23" spans="1:13" x14ac:dyDescent="0.2">
      <c r="A23" s="37">
        <v>93</v>
      </c>
      <c r="B23" s="38" t="s">
        <v>153</v>
      </c>
      <c r="C23" s="38" t="s">
        <v>91</v>
      </c>
      <c r="D23" s="39">
        <v>37035</v>
      </c>
      <c r="E23" s="39">
        <v>37038</v>
      </c>
      <c r="F23" s="40">
        <v>3</v>
      </c>
      <c r="G23" s="37">
        <v>5</v>
      </c>
      <c r="H23" s="38" t="s">
        <v>154</v>
      </c>
      <c r="I23" s="41">
        <v>489.52075206595998</v>
      </c>
      <c r="J23" s="42">
        <v>1468.5622561978798</v>
      </c>
      <c r="K23" s="43">
        <v>259</v>
      </c>
      <c r="L23" s="42">
        <v>146.85622561978798</v>
      </c>
      <c r="M23" s="42">
        <v>1874.4184818176677</v>
      </c>
    </row>
    <row r="24" spans="1:13" x14ac:dyDescent="0.2">
      <c r="A24" s="37">
        <v>94</v>
      </c>
      <c r="B24" s="38" t="s">
        <v>155</v>
      </c>
      <c r="C24" s="38" t="s">
        <v>156</v>
      </c>
      <c r="D24" s="39">
        <v>37035</v>
      </c>
      <c r="E24" s="39">
        <v>37040</v>
      </c>
      <c r="F24" s="40">
        <v>5</v>
      </c>
      <c r="G24" s="37">
        <v>5</v>
      </c>
      <c r="H24" s="38" t="s">
        <v>154</v>
      </c>
      <c r="I24" s="41">
        <v>489.52075206595998</v>
      </c>
      <c r="J24" s="42">
        <v>2447.6037603298</v>
      </c>
      <c r="K24" s="43">
        <v>24</v>
      </c>
      <c r="L24" s="42">
        <v>244.76037603298002</v>
      </c>
      <c r="M24" s="42">
        <v>2716.3641363627798</v>
      </c>
    </row>
    <row r="25" spans="1:13" x14ac:dyDescent="0.2">
      <c r="A25" s="37">
        <v>96</v>
      </c>
      <c r="B25" s="38" t="s">
        <v>157</v>
      </c>
      <c r="C25" s="38" t="s">
        <v>158</v>
      </c>
      <c r="D25" s="39">
        <v>37005</v>
      </c>
      <c r="E25" s="39">
        <v>37008</v>
      </c>
      <c r="F25" s="40">
        <v>3</v>
      </c>
      <c r="G25" s="37">
        <v>5</v>
      </c>
      <c r="H25" s="38" t="s">
        <v>154</v>
      </c>
      <c r="I25" s="41">
        <v>489.52075206595998</v>
      </c>
      <c r="J25" s="42">
        <v>1468.5622561978798</v>
      </c>
      <c r="K25" s="43">
        <v>71</v>
      </c>
      <c r="L25" s="42">
        <v>146.85622561978798</v>
      </c>
      <c r="M25" s="42">
        <v>1686.4184818176677</v>
      </c>
    </row>
    <row r="26" spans="1:13" x14ac:dyDescent="0.2">
      <c r="A26" s="37">
        <v>115</v>
      </c>
      <c r="B26" s="38" t="s">
        <v>77</v>
      </c>
      <c r="C26" s="38" t="s">
        <v>173</v>
      </c>
      <c r="D26" s="39">
        <v>36984</v>
      </c>
      <c r="E26" s="39">
        <v>37011</v>
      </c>
      <c r="F26" s="40">
        <v>27</v>
      </c>
      <c r="G26" s="37">
        <v>5</v>
      </c>
      <c r="H26" s="38" t="s">
        <v>154</v>
      </c>
      <c r="I26" s="41">
        <v>489.52075206595998</v>
      </c>
      <c r="J26" s="42">
        <v>13217.06030578092</v>
      </c>
      <c r="K26" s="43">
        <v>175</v>
      </c>
      <c r="L26" s="42">
        <v>1321.7060305780922</v>
      </c>
      <c r="M26" s="42">
        <v>14713.766336359013</v>
      </c>
    </row>
  </sheetData>
  <dataValidations count="2">
    <dataValidation type="list" allowBlank="1" showInputMessage="1" showErrorMessage="1" sqref="C1">
      <formula1>CAMPOS</formula1>
    </dataValidation>
    <dataValidation type="list" allowBlank="1" showInputMessage="1" showErrorMessage="1" sqref="C2">
      <formula1>VALORES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3" name="Button 3">
              <controlPr defaultSize="0" print="0" autoFill="0" autoPict="0" macro="[0]!relatorio">
                <anchor moveWithCells="1" sizeWithCells="1">
                  <from>
                    <xdr:col>6</xdr:col>
                    <xdr:colOff>228600</xdr:colOff>
                    <xdr:row>0</xdr:row>
                    <xdr:rowOff>19050</xdr:rowOff>
                  </from>
                  <to>
                    <xdr:col>9</xdr:col>
                    <xdr:colOff>352425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6</vt:i4>
      </vt:variant>
    </vt:vector>
  </HeadingPairs>
  <TitlesOfParts>
    <vt:vector size="21" baseType="lpstr">
      <vt:lpstr>Macros</vt:lpstr>
      <vt:lpstr>Fevereiro</vt:lpstr>
      <vt:lpstr>Março</vt:lpstr>
      <vt:lpstr>Abril</vt:lpstr>
      <vt:lpstr>Junho</vt:lpstr>
      <vt:lpstr>Julho</vt:lpstr>
      <vt:lpstr>Agosto</vt:lpstr>
      <vt:lpstr>Setembro</vt:lpstr>
      <vt:lpstr>Outubro</vt:lpstr>
      <vt:lpstr>Novembro</vt:lpstr>
      <vt:lpstr>Dezembro</vt:lpstr>
      <vt:lpstr>Estruturas Diferentes</vt:lpstr>
      <vt:lpstr>BaseCritério</vt:lpstr>
      <vt:lpstr>BASEDADOS</vt:lpstr>
      <vt:lpstr>RELATORIO</vt:lpstr>
      <vt:lpstr>RELATORIO!Area_de_extracao</vt:lpstr>
      <vt:lpstr>CAMPOS</vt:lpstr>
      <vt:lpstr>CRITERIO</vt:lpstr>
      <vt:lpstr>RELATORIO!Criterios</vt:lpstr>
      <vt:lpstr>DADOS</vt:lpstr>
      <vt:lpstr>VALORES</vt:lpstr>
    </vt:vector>
  </TitlesOfParts>
  <Company>Pacorel Comércio e Representações Ltda.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Pacorel</dc:creator>
  <cp:lastModifiedBy>Wesley de Oliveira Soares - Instrutor</cp:lastModifiedBy>
  <dcterms:created xsi:type="dcterms:W3CDTF">2007-07-13T19:59:27Z</dcterms:created>
  <dcterms:modified xsi:type="dcterms:W3CDTF">2013-10-05T01:01:06Z</dcterms:modified>
</cp:coreProperties>
</file>